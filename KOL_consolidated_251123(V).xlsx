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o\Desktop\KOL_Dashboard_0.94\"/>
    </mc:Choice>
  </mc:AlternateContent>
  <xr:revisionPtr revIDLastSave="0" documentId="13_ncr:1_{2D3418BA-38BB-4333-A3D1-FFD7BB701BE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kol_master" sheetId="1" r:id="rId1"/>
    <sheet name="contract_tasks" sheetId="2" r:id="rId2"/>
    <sheet name="activity_log" sheetId="3" r:id="rId3"/>
  </sheets>
  <definedNames>
    <definedName name="_xlnm._FilterDatabase" localSheetId="2" hidden="1">activity_log!$A$1:$J$127</definedName>
    <definedName name="_xlnm._FilterDatabase" localSheetId="1" hidden="1">contract_tasks!$A$1:$H$148</definedName>
    <definedName name="_xlnm._FilterDatabase" localSheetId="0" hidden="1">kol_master!$A$1:$H$36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7" i="3" l="1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22" i="3" l="1"/>
  <c r="D56" i="3"/>
  <c r="D67" i="3"/>
  <c r="D74" i="3"/>
  <c r="D97" i="3"/>
  <c r="D106" i="3"/>
  <c r="D70" i="3"/>
  <c r="D104" i="3"/>
  <c r="D109" i="3"/>
  <c r="D118" i="3"/>
  <c r="D2" i="3"/>
  <c r="D9" i="3"/>
  <c r="D10" i="3"/>
  <c r="D88" i="3"/>
  <c r="D105" i="3"/>
  <c r="D4" i="3"/>
  <c r="D13" i="3"/>
  <c r="D17" i="3"/>
  <c r="D18" i="3"/>
  <c r="D48" i="3"/>
  <c r="D98" i="3"/>
  <c r="D120" i="3"/>
  <c r="D14" i="3"/>
  <c r="D21" i="3"/>
  <c r="D23" i="3"/>
  <c r="D49" i="3"/>
  <c r="D64" i="3"/>
  <c r="D82" i="3"/>
  <c r="D107" i="3"/>
  <c r="D110" i="3"/>
  <c r="D46" i="3"/>
  <c r="D90" i="3"/>
  <c r="D100" i="3"/>
  <c r="D108" i="3"/>
  <c r="D61" i="3"/>
  <c r="D68" i="3"/>
  <c r="D71" i="3"/>
  <c r="D77" i="3"/>
  <c r="D83" i="3"/>
  <c r="D94" i="3"/>
  <c r="D127" i="3"/>
  <c r="D15" i="3"/>
  <c r="D29" i="3"/>
  <c r="D57" i="3"/>
  <c r="D62" i="3"/>
  <c r="D95" i="3"/>
  <c r="D122" i="3"/>
  <c r="D39" i="3"/>
  <c r="D65" i="3"/>
  <c r="D32" i="3"/>
  <c r="D40" i="3"/>
  <c r="D52" i="3"/>
  <c r="D58" i="3"/>
  <c r="D63" i="3"/>
  <c r="D91" i="3"/>
  <c r="D33" i="3"/>
  <c r="D41" i="3"/>
  <c r="D50" i="3"/>
  <c r="D53" i="3"/>
  <c r="D69" i="3"/>
  <c r="D75" i="3"/>
  <c r="D92" i="3"/>
  <c r="D35" i="3"/>
  <c r="D89" i="3"/>
  <c r="D96" i="3"/>
  <c r="D121" i="3"/>
  <c r="D42" i="3"/>
  <c r="D87" i="3"/>
  <c r="D30" i="3"/>
  <c r="D114" i="3"/>
  <c r="D47" i="3"/>
  <c r="D101" i="3"/>
  <c r="D16" i="3"/>
  <c r="D19" i="3"/>
  <c r="D25" i="3"/>
  <c r="D36" i="3"/>
  <c r="D66" i="3"/>
  <c r="D78" i="3"/>
  <c r="D43" i="3"/>
  <c r="D54" i="3"/>
  <c r="D73" i="3"/>
  <c r="D76" i="3"/>
  <c r="D93" i="3"/>
  <c r="D44" i="3"/>
  <c r="D37" i="3"/>
  <c r="D45" i="3"/>
  <c r="D55" i="3"/>
  <c r="D6" i="3"/>
  <c r="D28" i="3"/>
  <c r="D79" i="3"/>
  <c r="D84" i="3"/>
  <c r="D102" i="3"/>
  <c r="D111" i="3"/>
  <c r="D115" i="3"/>
  <c r="D119" i="3"/>
  <c r="D26" i="3"/>
  <c r="D31" i="3"/>
  <c r="D80" i="3"/>
  <c r="D85" i="3"/>
  <c r="D112" i="3"/>
  <c r="D116" i="3"/>
  <c r="D125" i="3"/>
  <c r="D81" i="3"/>
  <c r="D86" i="3"/>
  <c r="D103" i="3"/>
  <c r="D113" i="3"/>
  <c r="D117" i="3"/>
</calcChain>
</file>

<file path=xl/sharedStrings.xml><?xml version="1.0" encoding="utf-8"?>
<sst xmlns="http://schemas.openxmlformats.org/spreadsheetml/2006/main" count="1210" uniqueCount="113">
  <si>
    <t>Name</t>
  </si>
  <si>
    <t>KOL_ID</t>
  </si>
  <si>
    <t>Area</t>
  </si>
  <si>
    <t>Country</t>
  </si>
  <si>
    <t>Dr. Robert Jung</t>
  </si>
  <si>
    <t>Dr. Filip Rebelo</t>
  </si>
  <si>
    <t>Dr. Alexandre Richard</t>
  </si>
  <si>
    <t>Dr. Gary Finelle</t>
  </si>
  <si>
    <t>Dr. Pierre Leclercq</t>
  </si>
  <si>
    <t>Dr. Emmanuel Bocquet</t>
  </si>
  <si>
    <t>Dr. Oguz Emeklibas</t>
  </si>
  <si>
    <t>Dr. Frank Maier</t>
  </si>
  <si>
    <t>Dr. Simon Priess</t>
  </si>
  <si>
    <t>Dr. Justinas Pletkus</t>
  </si>
  <si>
    <t>Dr. Gabriel Musetescu</t>
  </si>
  <si>
    <t>Dr. Michalis Diomataris</t>
  </si>
  <si>
    <t>Dr. Grzegorz Wasiluk</t>
  </si>
  <si>
    <t>Dr. Łukasz Zadrożny</t>
  </si>
  <si>
    <t>Dr. Anton Sadovnyshyi</t>
  </si>
  <si>
    <t>Dr. Yevhenii Sluchevskyi</t>
  </si>
  <si>
    <t>Dr. Veiko Vengerfeldt</t>
  </si>
  <si>
    <t>Dr. Marco Tallarico</t>
  </si>
  <si>
    <t>Dr. Antonino Cacioppo</t>
  </si>
  <si>
    <t>Dr. Janghyun Paek</t>
  </si>
  <si>
    <t>Dr. Sapaar Bayarmagnai</t>
  </si>
  <si>
    <t>Dr. Swapnil Pande</t>
  </si>
  <si>
    <t>Dr. Priyam Aditya</t>
  </si>
  <si>
    <t>Dr. Ahmad Al Hassiny</t>
  </si>
  <si>
    <t>Dr. Manapat Thaveeprungsiporn</t>
  </si>
  <si>
    <t>Dr. Sameh Shaaban</t>
  </si>
  <si>
    <t>Dr. Amr Elkhadem</t>
  </si>
  <si>
    <t>Dr. Mohamed Elashry</t>
  </si>
  <si>
    <t>Dr. Sardor Mirakhmedov</t>
  </si>
  <si>
    <t>Dr. Kenneth Lee</t>
  </si>
  <si>
    <t>Dr. Derek Mahonny</t>
  </si>
  <si>
    <t>Dr. Arass Jalal Noori</t>
  </si>
  <si>
    <t>Dr. Rekar Ismail</t>
  </si>
  <si>
    <t>Dr. Ahmad Al-Hassiny</t>
  </si>
  <si>
    <t>Europe</t>
  </si>
  <si>
    <t>APAC</t>
  </si>
  <si>
    <t>MEA</t>
  </si>
  <si>
    <t>UK</t>
  </si>
  <si>
    <t>Sweden</t>
  </si>
  <si>
    <t>France</t>
  </si>
  <si>
    <t>Germany</t>
  </si>
  <si>
    <t>Lithuania</t>
  </si>
  <si>
    <t>Romania</t>
  </si>
  <si>
    <t>Greece</t>
  </si>
  <si>
    <t>Poland</t>
  </si>
  <si>
    <t>Ukraine</t>
  </si>
  <si>
    <t>Estonia</t>
  </si>
  <si>
    <t>Italy</t>
  </si>
  <si>
    <t>Korea</t>
  </si>
  <si>
    <t>Mongolia</t>
  </si>
  <si>
    <t>India</t>
  </si>
  <si>
    <t>New Zealand</t>
  </si>
  <si>
    <t>Thailand</t>
  </si>
  <si>
    <t>Egypt</t>
  </si>
  <si>
    <t>Uzbekistan</t>
  </si>
  <si>
    <t>Task</t>
  </si>
  <si>
    <t>Contract_Start</t>
  </si>
  <si>
    <t>Contract_End</t>
  </si>
  <si>
    <t>Lecture</t>
  </si>
  <si>
    <t>Testimonial</t>
  </si>
  <si>
    <t>SNS Posting</t>
  </si>
  <si>
    <t>Case Report</t>
  </si>
  <si>
    <t>R&amp;D Feedback</t>
  </si>
  <si>
    <t>Webinar</t>
  </si>
  <si>
    <t>Article</t>
  </si>
  <si>
    <t>Date</t>
  </si>
  <si>
    <t>Activity</t>
  </si>
  <si>
    <t>Notes</t>
  </si>
  <si>
    <t>Planned</t>
  </si>
  <si>
    <t>Dr. Mohamed elashry</t>
  </si>
  <si>
    <t>MOS Test</t>
  </si>
  <si>
    <t>i900MTest</t>
  </si>
  <si>
    <t>Auraview Test</t>
  </si>
  <si>
    <t>i900c shipment</t>
  </si>
  <si>
    <t>Contents creation</t>
  </si>
  <si>
    <t>i900 shipment</t>
  </si>
  <si>
    <t>case report</t>
  </si>
  <si>
    <t>ContentsCreation</t>
  </si>
  <si>
    <t>T710 shipment</t>
  </si>
  <si>
    <t>i900M shipment</t>
  </si>
  <si>
    <t>Clinical Paper</t>
  </si>
  <si>
    <t>Academy</t>
  </si>
  <si>
    <t>Hands-on</t>
  </si>
  <si>
    <t>Other</t>
  </si>
  <si>
    <t>Vanest Launching Show</t>
  </si>
  <si>
    <t>ADF 2025</t>
  </si>
  <si>
    <t>per year</t>
  </si>
  <si>
    <t>per quarter</t>
  </si>
  <si>
    <t>bimonth</t>
  </si>
  <si>
    <t>biyear</t>
  </si>
  <si>
    <t>Times</t>
    <phoneticPr fontId="1" type="noConversion"/>
  </si>
  <si>
    <t>Notion Link</t>
    <phoneticPr fontId="1" type="noConversion"/>
  </si>
  <si>
    <t>Delayed</t>
    <phoneticPr fontId="1" type="noConversion"/>
  </si>
  <si>
    <t>Contract_End</t>
    <phoneticPr fontId="1" type="noConversion"/>
  </si>
  <si>
    <t>TBD</t>
    <phoneticPr fontId="1" type="noConversion"/>
  </si>
  <si>
    <t>Status(Planned/On Progress/Done)</t>
    <phoneticPr fontId="1" type="noConversion"/>
  </si>
  <si>
    <t>Source(Planned/TBD)</t>
    <phoneticPr fontId="1" type="noConversion"/>
  </si>
  <si>
    <t>Testimonial</t>
    <phoneticPr fontId="1" type="noConversion"/>
  </si>
  <si>
    <t>Lecture</t>
    <phoneticPr fontId="1" type="noConversion"/>
  </si>
  <si>
    <t>Target_Count</t>
    <phoneticPr fontId="1" type="noConversion"/>
  </si>
  <si>
    <t>Done</t>
    <phoneticPr fontId="1" type="noConversion"/>
  </si>
  <si>
    <t>On Progress</t>
    <phoneticPr fontId="1" type="noConversion"/>
  </si>
  <si>
    <t>Planned</t>
    <phoneticPr fontId="1" type="noConversion"/>
  </si>
  <si>
    <t>Lat</t>
    <phoneticPr fontId="1" type="noConversion"/>
  </si>
  <si>
    <t>Lon</t>
    <phoneticPr fontId="1" type="noConversion"/>
  </si>
  <si>
    <t>Europe - 20</t>
  </si>
  <si>
    <t>MEA - 5</t>
  </si>
  <si>
    <t>APAC - 9</t>
  </si>
  <si>
    <t>Location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</si>
</sst>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Normal="100" workbookViewId="0">
      <selection activeCell="E1" sqref="E1"/>
    </sheetView>
  </sheetViews>
  <sheetFormatPr defaultColWidth="8.6640625" defaultRowHeight="14" x14ac:dyDescent="0.3"/>
  <cols>
    <col min="1" max="1" width="29.58203125" style="1" bestFit="1" customWidth="1"/>
    <col min="2" max="7" width="20.58203125" style="8" customWidth="1"/>
    <col min="8" max="8" width="35.6640625" style="1" customWidth="1"/>
    <col min="9" max="16384" width="8.6640625" style="1"/>
  </cols>
  <sheetData>
    <row r="1" spans="1:8" s="3" customFormat="1" ht="20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107</v>
      </c>
      <c r="F1" s="2" t="s">
        <v>108</v>
      </c>
      <c r="G1" s="2" t="s">
        <v>112</v>
      </c>
      <c r="H1" s="2" t="s">
        <v>95</v>
      </c>
    </row>
    <row r="2" spans="1:8" s="3" customFormat="1" ht="20" customHeight="1" x14ac:dyDescent="0.45">
      <c r="A2" s="4" t="s">
        <v>4</v>
      </c>
      <c r="B2" s="7">
        <v>101001</v>
      </c>
      <c r="C2" s="7" t="s">
        <v>38</v>
      </c>
      <c r="D2" s="7" t="s">
        <v>41</v>
      </c>
      <c r="E2" s="7">
        <v>55.378050999999999</v>
      </c>
      <c r="F2" s="7">
        <v>-3.4359730000000002</v>
      </c>
      <c r="G2" s="7" t="s">
        <v>109</v>
      </c>
      <c r="H2" s="5"/>
    </row>
    <row r="3" spans="1:8" s="3" customFormat="1" ht="20" customHeight="1" x14ac:dyDescent="0.45">
      <c r="A3" s="4" t="s">
        <v>5</v>
      </c>
      <c r="B3" s="7">
        <v>102001</v>
      </c>
      <c r="C3" s="7" t="s">
        <v>38</v>
      </c>
      <c r="D3" s="7" t="s">
        <v>42</v>
      </c>
      <c r="E3" s="7"/>
      <c r="F3" s="7"/>
      <c r="G3" s="7"/>
      <c r="H3" s="5"/>
    </row>
    <row r="4" spans="1:8" s="3" customFormat="1" ht="20" customHeight="1" x14ac:dyDescent="0.45">
      <c r="A4" s="4" t="s">
        <v>6</v>
      </c>
      <c r="B4" s="7">
        <v>103001</v>
      </c>
      <c r="C4" s="7" t="s">
        <v>38</v>
      </c>
      <c r="D4" s="7" t="s">
        <v>43</v>
      </c>
      <c r="E4" s="7">
        <v>48.857547500000003</v>
      </c>
      <c r="F4" s="7">
        <v>2.3513765000000002</v>
      </c>
      <c r="G4" s="7" t="s">
        <v>109</v>
      </c>
      <c r="H4" s="5"/>
    </row>
    <row r="5" spans="1:8" s="3" customFormat="1" ht="20" customHeight="1" x14ac:dyDescent="0.45">
      <c r="A5" s="4" t="s">
        <v>7</v>
      </c>
      <c r="B5" s="7">
        <v>103002</v>
      </c>
      <c r="C5" s="7" t="s">
        <v>38</v>
      </c>
      <c r="D5" s="7" t="s">
        <v>43</v>
      </c>
      <c r="E5" s="7">
        <v>48.8572992</v>
      </c>
      <c r="F5" s="7">
        <v>2.3011466999999999</v>
      </c>
      <c r="G5" s="7" t="s">
        <v>109</v>
      </c>
      <c r="H5" s="5"/>
    </row>
    <row r="6" spans="1:8" s="3" customFormat="1" ht="20" customHeight="1" x14ac:dyDescent="0.45">
      <c r="A6" s="4" t="s">
        <v>8</v>
      </c>
      <c r="B6" s="7">
        <v>103003</v>
      </c>
      <c r="C6" s="7" t="s">
        <v>38</v>
      </c>
      <c r="D6" s="7" t="s">
        <v>43</v>
      </c>
      <c r="E6" s="7">
        <v>43.403448500000003</v>
      </c>
      <c r="F6" s="7">
        <v>4.9800614000000003</v>
      </c>
      <c r="G6" s="7" t="s">
        <v>109</v>
      </c>
      <c r="H6" s="5"/>
    </row>
    <row r="7" spans="1:8" s="3" customFormat="1" ht="20" customHeight="1" x14ac:dyDescent="0.45">
      <c r="A7" s="4" t="s">
        <v>9</v>
      </c>
      <c r="B7" s="7">
        <v>103004</v>
      </c>
      <c r="C7" s="7" t="s">
        <v>38</v>
      </c>
      <c r="D7" s="7" t="s">
        <v>43</v>
      </c>
      <c r="E7" s="7">
        <v>50.623741099999997</v>
      </c>
      <c r="F7" s="7">
        <v>3.0395183000000001</v>
      </c>
      <c r="G7" s="7" t="s">
        <v>109</v>
      </c>
      <c r="H7" s="5"/>
    </row>
    <row r="8" spans="1:8" s="3" customFormat="1" ht="20" customHeight="1" x14ac:dyDescent="0.45">
      <c r="A8" s="4" t="s">
        <v>10</v>
      </c>
      <c r="B8" s="7">
        <v>104001</v>
      </c>
      <c r="C8" s="7" t="s">
        <v>38</v>
      </c>
      <c r="D8" s="7" t="s">
        <v>44</v>
      </c>
      <c r="E8" s="7"/>
      <c r="F8" s="7"/>
      <c r="G8" s="7"/>
      <c r="H8" s="5"/>
    </row>
    <row r="9" spans="1:8" s="3" customFormat="1" ht="20" customHeight="1" x14ac:dyDescent="0.45">
      <c r="A9" s="4" t="s">
        <v>11</v>
      </c>
      <c r="B9" s="7">
        <v>104002</v>
      </c>
      <c r="C9" s="7" t="s">
        <v>38</v>
      </c>
      <c r="D9" s="7" t="s">
        <v>44</v>
      </c>
      <c r="E9" s="7"/>
      <c r="F9" s="7"/>
      <c r="G9" s="7"/>
      <c r="H9" s="5"/>
    </row>
    <row r="10" spans="1:8" s="3" customFormat="1" ht="20" customHeight="1" x14ac:dyDescent="0.45">
      <c r="A10" s="4" t="s">
        <v>12</v>
      </c>
      <c r="B10" s="7">
        <v>104003</v>
      </c>
      <c r="C10" s="7" t="s">
        <v>38</v>
      </c>
      <c r="D10" s="7" t="s">
        <v>44</v>
      </c>
      <c r="E10" s="7"/>
      <c r="F10" s="7"/>
      <c r="G10" s="7"/>
      <c r="H10" s="5"/>
    </row>
    <row r="11" spans="1:8" s="3" customFormat="1" ht="20" customHeight="1" x14ac:dyDescent="0.45">
      <c r="A11" s="4" t="s">
        <v>13</v>
      </c>
      <c r="B11" s="7">
        <v>105001</v>
      </c>
      <c r="C11" s="7" t="s">
        <v>38</v>
      </c>
      <c r="D11" s="7" t="s">
        <v>45</v>
      </c>
      <c r="E11" s="7">
        <v>55.169438</v>
      </c>
      <c r="F11" s="7">
        <v>23.881274999999999</v>
      </c>
      <c r="G11" s="7" t="s">
        <v>109</v>
      </c>
      <c r="H11" s="5"/>
    </row>
    <row r="12" spans="1:8" s="3" customFormat="1" ht="20" customHeight="1" x14ac:dyDescent="0.45">
      <c r="A12" s="4" t="s">
        <v>14</v>
      </c>
      <c r="B12" s="7">
        <v>106001</v>
      </c>
      <c r="C12" s="7" t="s">
        <v>38</v>
      </c>
      <c r="D12" s="7" t="s">
        <v>46</v>
      </c>
      <c r="E12" s="7">
        <v>44.426767400000003</v>
      </c>
      <c r="F12" s="7">
        <v>26.1025384</v>
      </c>
      <c r="G12" s="7" t="s">
        <v>109</v>
      </c>
      <c r="H12" s="5"/>
    </row>
    <row r="13" spans="1:8" s="3" customFormat="1" ht="20" customHeight="1" x14ac:dyDescent="0.45">
      <c r="A13" s="4" t="s">
        <v>15</v>
      </c>
      <c r="B13" s="7">
        <v>107001</v>
      </c>
      <c r="C13" s="7" t="s">
        <v>38</v>
      </c>
      <c r="D13" s="7" t="s">
        <v>47</v>
      </c>
      <c r="E13" s="7">
        <v>37.9823582</v>
      </c>
      <c r="F13" s="7">
        <v>23.737233499999999</v>
      </c>
      <c r="G13" s="7" t="s">
        <v>109</v>
      </c>
      <c r="H13" s="5"/>
    </row>
    <row r="14" spans="1:8" s="3" customFormat="1" ht="20" customHeight="1" x14ac:dyDescent="0.45">
      <c r="A14" s="4" t="s">
        <v>16</v>
      </c>
      <c r="B14" s="7">
        <v>108001</v>
      </c>
      <c r="C14" s="7" t="s">
        <v>38</v>
      </c>
      <c r="D14" s="7" t="s">
        <v>48</v>
      </c>
      <c r="E14" s="7">
        <v>52.2296756</v>
      </c>
      <c r="F14" s="7">
        <v>21.012228700000001</v>
      </c>
      <c r="G14" s="7" t="s">
        <v>109</v>
      </c>
      <c r="H14" s="5"/>
    </row>
    <row r="15" spans="1:8" s="3" customFormat="1" ht="20" customHeight="1" x14ac:dyDescent="0.45">
      <c r="A15" s="4" t="s">
        <v>17</v>
      </c>
      <c r="B15" s="7">
        <v>108003</v>
      </c>
      <c r="C15" s="7" t="s">
        <v>38</v>
      </c>
      <c r="D15" s="7" t="s">
        <v>48</v>
      </c>
      <c r="E15" s="7">
        <v>52.346916999999998</v>
      </c>
      <c r="F15" s="7">
        <v>20.899641200000001</v>
      </c>
      <c r="G15" s="7" t="s">
        <v>109</v>
      </c>
      <c r="H15" s="5"/>
    </row>
    <row r="16" spans="1:8" s="3" customFormat="1" ht="20" customHeight="1" x14ac:dyDescent="0.45">
      <c r="A16" s="4" t="s">
        <v>18</v>
      </c>
      <c r="B16" s="7">
        <v>109001</v>
      </c>
      <c r="C16" s="7" t="s">
        <v>38</v>
      </c>
      <c r="D16" s="7" t="s">
        <v>49</v>
      </c>
      <c r="E16" s="7"/>
      <c r="F16" s="7"/>
      <c r="G16" s="7"/>
      <c r="H16" s="5"/>
    </row>
    <row r="17" spans="1:8" s="3" customFormat="1" ht="20" customHeight="1" x14ac:dyDescent="0.45">
      <c r="A17" s="4" t="s">
        <v>19</v>
      </c>
      <c r="B17" s="7">
        <v>109002</v>
      </c>
      <c r="C17" s="7" t="s">
        <v>38</v>
      </c>
      <c r="D17" s="7" t="s">
        <v>49</v>
      </c>
      <c r="E17" s="7">
        <v>50.430371200000003</v>
      </c>
      <c r="F17" s="7">
        <v>30.475850099999999</v>
      </c>
      <c r="G17" s="7" t="s">
        <v>109</v>
      </c>
      <c r="H17" s="5"/>
    </row>
    <row r="18" spans="1:8" s="3" customFormat="1" ht="20" customHeight="1" x14ac:dyDescent="0.45">
      <c r="A18" s="4" t="s">
        <v>20</v>
      </c>
      <c r="B18" s="7">
        <v>110001</v>
      </c>
      <c r="C18" s="7" t="s">
        <v>38</v>
      </c>
      <c r="D18" s="7" t="s">
        <v>50</v>
      </c>
      <c r="E18" s="7">
        <v>58.372636399999998</v>
      </c>
      <c r="F18" s="7">
        <v>26.719974199999999</v>
      </c>
      <c r="G18" s="7" t="s">
        <v>109</v>
      </c>
      <c r="H18" s="5"/>
    </row>
    <row r="19" spans="1:8" s="3" customFormat="1" ht="20" customHeight="1" x14ac:dyDescent="0.45">
      <c r="A19" s="4" t="s">
        <v>21</v>
      </c>
      <c r="B19" s="7">
        <v>111001</v>
      </c>
      <c r="C19" s="7" t="s">
        <v>38</v>
      </c>
      <c r="D19" s="7" t="s">
        <v>51</v>
      </c>
      <c r="E19" s="7">
        <v>41.858696100000003</v>
      </c>
      <c r="F19" s="7">
        <v>12.4408791</v>
      </c>
      <c r="G19" s="7" t="s">
        <v>109</v>
      </c>
      <c r="H19" s="5"/>
    </row>
    <row r="20" spans="1:8" s="3" customFormat="1" ht="20" customHeight="1" x14ac:dyDescent="0.45">
      <c r="A20" s="4" t="s">
        <v>22</v>
      </c>
      <c r="B20" s="7">
        <v>111002</v>
      </c>
      <c r="C20" s="7" t="s">
        <v>38</v>
      </c>
      <c r="D20" s="7" t="s">
        <v>51</v>
      </c>
      <c r="E20" s="7">
        <v>38.130287899999999</v>
      </c>
      <c r="F20" s="7">
        <v>13.332581899999999</v>
      </c>
      <c r="G20" s="7" t="s">
        <v>109</v>
      </c>
      <c r="H20" s="5"/>
    </row>
    <row r="21" spans="1:8" s="3" customFormat="1" ht="20" customHeight="1" x14ac:dyDescent="0.45">
      <c r="A21" s="4" t="s">
        <v>23</v>
      </c>
      <c r="B21" s="7">
        <v>201001</v>
      </c>
      <c r="C21" s="7" t="s">
        <v>39</v>
      </c>
      <c r="D21" s="7" t="s">
        <v>52</v>
      </c>
      <c r="E21" s="7">
        <v>37.370175400000001</v>
      </c>
      <c r="F21" s="7">
        <v>126.65029730000001</v>
      </c>
      <c r="G21" s="7" t="s">
        <v>111</v>
      </c>
      <c r="H21" s="5"/>
    </row>
    <row r="22" spans="1:8" s="3" customFormat="1" ht="20" customHeight="1" x14ac:dyDescent="0.45">
      <c r="A22" s="4" t="s">
        <v>24</v>
      </c>
      <c r="B22" s="7">
        <v>202001</v>
      </c>
      <c r="C22" s="7" t="s">
        <v>39</v>
      </c>
      <c r="D22" s="7" t="s">
        <v>53</v>
      </c>
      <c r="E22" s="7">
        <v>47.922050900000002</v>
      </c>
      <c r="F22" s="7">
        <v>106.9155007</v>
      </c>
      <c r="G22" s="7" t="s">
        <v>111</v>
      </c>
      <c r="H22" s="5"/>
    </row>
    <row r="23" spans="1:8" s="3" customFormat="1" ht="20" customHeight="1" x14ac:dyDescent="0.45">
      <c r="A23" s="4" t="s">
        <v>25</v>
      </c>
      <c r="B23" s="7">
        <v>203001</v>
      </c>
      <c r="C23" s="7" t="s">
        <v>39</v>
      </c>
      <c r="D23" s="7" t="s">
        <v>54</v>
      </c>
      <c r="E23" s="7">
        <v>19.285637399999999</v>
      </c>
      <c r="F23" s="7">
        <v>72.869109199999997</v>
      </c>
      <c r="G23" s="7" t="s">
        <v>111</v>
      </c>
      <c r="H23" s="5"/>
    </row>
    <row r="24" spans="1:8" s="3" customFormat="1" ht="20" customHeight="1" x14ac:dyDescent="0.45">
      <c r="A24" s="4" t="s">
        <v>26</v>
      </c>
      <c r="B24" s="7">
        <v>203002</v>
      </c>
      <c r="C24" s="7" t="s">
        <v>39</v>
      </c>
      <c r="D24" s="7" t="s">
        <v>54</v>
      </c>
      <c r="E24" s="7">
        <v>28.7040592</v>
      </c>
      <c r="F24" s="7">
        <v>77.102490200000005</v>
      </c>
      <c r="G24" s="7" t="s">
        <v>111</v>
      </c>
      <c r="H24" s="5"/>
    </row>
    <row r="25" spans="1:8" s="3" customFormat="1" ht="20" customHeight="1" x14ac:dyDescent="0.45">
      <c r="A25" s="4" t="s">
        <v>27</v>
      </c>
      <c r="B25" s="7">
        <v>204001</v>
      </c>
      <c r="C25" s="7" t="s">
        <v>39</v>
      </c>
      <c r="D25" s="7" t="s">
        <v>55</v>
      </c>
      <c r="E25" s="7"/>
      <c r="F25" s="7"/>
      <c r="G25" s="7"/>
      <c r="H25" s="5"/>
    </row>
    <row r="26" spans="1:8" s="3" customFormat="1" ht="20" customHeight="1" x14ac:dyDescent="0.45">
      <c r="A26" s="4" t="s">
        <v>28</v>
      </c>
      <c r="B26" s="7">
        <v>205001</v>
      </c>
      <c r="C26" s="7" t="s">
        <v>39</v>
      </c>
      <c r="D26" s="7" t="s">
        <v>56</v>
      </c>
      <c r="E26" s="7">
        <v>13.668794200000001</v>
      </c>
      <c r="F26" s="7">
        <v>100.63396950000001</v>
      </c>
      <c r="G26" s="7" t="s">
        <v>111</v>
      </c>
      <c r="H26" s="5"/>
    </row>
    <row r="27" spans="1:8" s="3" customFormat="1" ht="20" customHeight="1" x14ac:dyDescent="0.45">
      <c r="A27" s="4" t="s">
        <v>32</v>
      </c>
      <c r="B27" s="7">
        <v>206001</v>
      </c>
      <c r="C27" s="7" t="s">
        <v>39</v>
      </c>
      <c r="D27" s="7" t="s">
        <v>58</v>
      </c>
      <c r="E27" s="7">
        <v>41.332147399999997</v>
      </c>
      <c r="F27" s="7">
        <v>69.331626299999996</v>
      </c>
      <c r="G27" s="7" t="s">
        <v>111</v>
      </c>
      <c r="H27" s="5"/>
    </row>
    <row r="28" spans="1:8" s="3" customFormat="1" ht="20" customHeight="1" x14ac:dyDescent="0.45">
      <c r="A28" s="4" t="s">
        <v>29</v>
      </c>
      <c r="B28" s="7">
        <v>301001</v>
      </c>
      <c r="C28" s="7" t="s">
        <v>40</v>
      </c>
      <c r="D28" s="7" t="s">
        <v>57</v>
      </c>
      <c r="E28" s="7">
        <v>30.044419600000001</v>
      </c>
      <c r="F28" s="7">
        <v>31.235711599999998</v>
      </c>
      <c r="G28" s="7" t="s">
        <v>110</v>
      </c>
      <c r="H28" s="5"/>
    </row>
    <row r="29" spans="1:8" s="3" customFormat="1" ht="20" customHeight="1" x14ac:dyDescent="0.45">
      <c r="A29" s="4" t="s">
        <v>30</v>
      </c>
      <c r="B29" s="7">
        <v>301002</v>
      </c>
      <c r="C29" s="7" t="s">
        <v>40</v>
      </c>
      <c r="D29" s="7" t="s">
        <v>57</v>
      </c>
      <c r="E29" s="7">
        <v>30.0362899</v>
      </c>
      <c r="F29" s="7">
        <v>31.4758292</v>
      </c>
      <c r="G29" s="7" t="s">
        <v>110</v>
      </c>
      <c r="H29" s="5"/>
    </row>
    <row r="30" spans="1:8" s="3" customFormat="1" ht="20" customHeight="1" x14ac:dyDescent="0.45">
      <c r="A30" s="4" t="s">
        <v>31</v>
      </c>
      <c r="B30" s="7">
        <v>301003</v>
      </c>
      <c r="C30" s="7" t="s">
        <v>40</v>
      </c>
      <c r="D30" s="7" t="s">
        <v>57</v>
      </c>
      <c r="E30" s="7">
        <v>31.200092399999999</v>
      </c>
      <c r="F30" s="7">
        <v>29.918738699999999</v>
      </c>
      <c r="G30" s="7" t="s">
        <v>110</v>
      </c>
      <c r="H30" s="5"/>
    </row>
    <row r="31" spans="1:8" s="3" customFormat="1" ht="20" customHeight="1" x14ac:dyDescent="0.45">
      <c r="A31" s="4" t="s">
        <v>33</v>
      </c>
      <c r="B31" s="9"/>
      <c r="C31" s="9"/>
      <c r="D31" s="9"/>
      <c r="E31" s="9"/>
      <c r="F31" s="9"/>
      <c r="G31" s="9"/>
      <c r="H31" s="5"/>
    </row>
    <row r="32" spans="1:8" s="3" customFormat="1" ht="20" customHeight="1" x14ac:dyDescent="0.45">
      <c r="A32" s="4" t="s">
        <v>34</v>
      </c>
      <c r="B32" s="9"/>
      <c r="C32" s="9"/>
      <c r="D32" s="9"/>
      <c r="E32" s="9"/>
      <c r="F32" s="9"/>
      <c r="G32" s="9"/>
      <c r="H32" s="5"/>
    </row>
    <row r="33" spans="1:8" s="3" customFormat="1" ht="20" customHeight="1" x14ac:dyDescent="0.45">
      <c r="A33" s="4" t="s">
        <v>35</v>
      </c>
      <c r="B33" s="9"/>
      <c r="C33" s="9"/>
      <c r="D33" s="9"/>
      <c r="E33" s="9"/>
      <c r="F33" s="9"/>
      <c r="G33" s="9"/>
      <c r="H33" s="5"/>
    </row>
    <row r="34" spans="1:8" s="3" customFormat="1" ht="20" customHeight="1" x14ac:dyDescent="0.45">
      <c r="A34" s="4" t="s">
        <v>36</v>
      </c>
      <c r="B34" s="9"/>
      <c r="C34" s="9"/>
      <c r="D34" s="9"/>
      <c r="E34" s="9"/>
      <c r="F34" s="9"/>
      <c r="G34" s="9"/>
      <c r="H34" s="5"/>
    </row>
    <row r="35" spans="1:8" s="3" customFormat="1" ht="20" customHeight="1" x14ac:dyDescent="0.45">
      <c r="A35" s="4" t="s">
        <v>34</v>
      </c>
      <c r="B35" s="9"/>
      <c r="C35" s="9"/>
      <c r="D35" s="9"/>
      <c r="E35" s="9"/>
      <c r="F35" s="9"/>
      <c r="G35" s="9"/>
      <c r="H35" s="5"/>
    </row>
    <row r="36" spans="1:8" s="3" customFormat="1" ht="20" customHeight="1" x14ac:dyDescent="0.45">
      <c r="A36" s="4" t="s">
        <v>37</v>
      </c>
      <c r="B36" s="9"/>
      <c r="C36" s="9"/>
      <c r="D36" s="9"/>
      <c r="E36" s="9">
        <v>-41.292381399999996</v>
      </c>
      <c r="F36" s="9">
        <v>174.77874629999999</v>
      </c>
      <c r="G36" s="9" t="s">
        <v>111</v>
      </c>
      <c r="H36" s="5"/>
    </row>
    <row r="37" spans="1:8" s="3" customFormat="1" ht="20" customHeight="1" x14ac:dyDescent="0.45">
      <c r="B37" s="10"/>
      <c r="C37" s="10"/>
      <c r="D37" s="10"/>
      <c r="E37" s="10"/>
      <c r="F37" s="10"/>
      <c r="G37" s="10"/>
    </row>
    <row r="38" spans="1:8" s="3" customFormat="1" ht="20" customHeight="1" x14ac:dyDescent="0.45">
      <c r="B38" s="10"/>
      <c r="C38" s="10"/>
      <c r="D38" s="10"/>
      <c r="E38" s="10"/>
      <c r="F38" s="10"/>
      <c r="G38" s="10"/>
    </row>
    <row r="39" spans="1:8" s="3" customFormat="1" ht="20" customHeight="1" x14ac:dyDescent="0.45">
      <c r="B39" s="10"/>
      <c r="C39" s="10"/>
      <c r="D39" s="10"/>
      <c r="E39" s="10"/>
      <c r="F39" s="10"/>
      <c r="G39" s="10"/>
    </row>
    <row r="40" spans="1:8" s="3" customFormat="1" ht="20" customHeight="1" x14ac:dyDescent="0.45">
      <c r="B40" s="10"/>
      <c r="C40" s="10"/>
      <c r="D40" s="10"/>
      <c r="E40" s="10"/>
      <c r="F40" s="10"/>
      <c r="G40" s="10"/>
    </row>
    <row r="41" spans="1:8" s="3" customFormat="1" ht="20" customHeight="1" x14ac:dyDescent="0.45">
      <c r="B41" s="10"/>
      <c r="C41" s="10"/>
      <c r="D41" s="10"/>
      <c r="E41" s="10"/>
      <c r="F41" s="10"/>
      <c r="G41" s="10"/>
    </row>
    <row r="42" spans="1:8" s="3" customFormat="1" ht="20" customHeight="1" x14ac:dyDescent="0.45">
      <c r="B42" s="10"/>
      <c r="C42" s="10"/>
      <c r="D42" s="10"/>
      <c r="E42" s="10"/>
      <c r="F42" s="10"/>
      <c r="G42" s="10"/>
    </row>
    <row r="43" spans="1:8" s="3" customFormat="1" ht="20" customHeight="1" x14ac:dyDescent="0.45">
      <c r="B43" s="10"/>
      <c r="C43" s="10"/>
      <c r="D43" s="10"/>
      <c r="E43" s="10"/>
      <c r="F43" s="10"/>
      <c r="G43" s="10"/>
    </row>
    <row r="44" spans="1:8" s="3" customFormat="1" ht="20" customHeight="1" x14ac:dyDescent="0.45">
      <c r="B44" s="10"/>
      <c r="C44" s="10"/>
      <c r="D44" s="10"/>
      <c r="E44" s="10"/>
      <c r="F44" s="10"/>
      <c r="G44" s="10"/>
    </row>
    <row r="45" spans="1:8" s="3" customFormat="1" ht="20" customHeight="1" x14ac:dyDescent="0.45">
      <c r="B45" s="10"/>
      <c r="C45" s="10"/>
      <c r="D45" s="10"/>
      <c r="E45" s="10"/>
      <c r="F45" s="10"/>
      <c r="G45" s="10"/>
    </row>
    <row r="46" spans="1:8" s="3" customFormat="1" ht="20" customHeight="1" x14ac:dyDescent="0.45">
      <c r="B46" s="10"/>
      <c r="C46" s="10"/>
      <c r="D46" s="10"/>
      <c r="E46" s="10"/>
      <c r="F46" s="10"/>
      <c r="G46" s="10"/>
    </row>
    <row r="47" spans="1:8" s="3" customFormat="1" ht="20" customHeight="1" x14ac:dyDescent="0.45">
      <c r="B47" s="10"/>
      <c r="C47" s="10"/>
      <c r="D47" s="10"/>
      <c r="E47" s="10"/>
      <c r="F47" s="10"/>
      <c r="G47" s="10"/>
    </row>
    <row r="48" spans="1:8" s="3" customFormat="1" ht="20" customHeight="1" x14ac:dyDescent="0.45">
      <c r="B48" s="10"/>
      <c r="C48" s="10"/>
      <c r="D48" s="10"/>
      <c r="E48" s="10"/>
      <c r="F48" s="10"/>
      <c r="G48" s="10"/>
    </row>
    <row r="49" spans="2:7" s="3" customFormat="1" ht="20" customHeight="1" x14ac:dyDescent="0.45">
      <c r="B49" s="10"/>
      <c r="C49" s="10"/>
      <c r="D49" s="10"/>
      <c r="E49" s="10"/>
      <c r="F49" s="10"/>
      <c r="G49" s="10"/>
    </row>
    <row r="50" spans="2:7" s="3" customFormat="1" ht="20" customHeight="1" x14ac:dyDescent="0.45">
      <c r="B50" s="10"/>
      <c r="C50" s="10"/>
      <c r="D50" s="10"/>
      <c r="E50" s="10"/>
      <c r="F50" s="10"/>
      <c r="G50" s="10"/>
    </row>
    <row r="51" spans="2:7" s="3" customFormat="1" ht="20" customHeight="1" x14ac:dyDescent="0.45">
      <c r="B51" s="10"/>
      <c r="C51" s="10"/>
      <c r="D51" s="10"/>
      <c r="E51" s="10"/>
      <c r="F51" s="10"/>
      <c r="G51" s="10"/>
    </row>
    <row r="52" spans="2:7" s="3" customFormat="1" ht="20" customHeight="1" x14ac:dyDescent="0.45">
      <c r="B52" s="10"/>
      <c r="C52" s="10"/>
      <c r="D52" s="10"/>
      <c r="E52" s="10"/>
      <c r="F52" s="10"/>
      <c r="G52" s="10"/>
    </row>
    <row r="53" spans="2:7" s="3" customFormat="1" ht="20" customHeight="1" x14ac:dyDescent="0.45">
      <c r="B53" s="10"/>
      <c r="C53" s="10"/>
      <c r="D53" s="10"/>
      <c r="E53" s="10"/>
      <c r="F53" s="10"/>
      <c r="G53" s="10"/>
    </row>
    <row r="54" spans="2:7" s="3" customFormat="1" ht="20" customHeight="1" x14ac:dyDescent="0.45">
      <c r="B54" s="10"/>
      <c r="C54" s="10"/>
      <c r="D54" s="10"/>
      <c r="E54" s="10"/>
      <c r="F54" s="10"/>
      <c r="G54" s="10"/>
    </row>
    <row r="55" spans="2:7" s="3" customFormat="1" ht="20" customHeight="1" x14ac:dyDescent="0.45">
      <c r="B55" s="10"/>
      <c r="C55" s="10"/>
      <c r="D55" s="10"/>
      <c r="E55" s="10"/>
      <c r="F55" s="10"/>
      <c r="G55" s="10"/>
    </row>
    <row r="56" spans="2:7" s="3" customFormat="1" ht="20" customHeight="1" x14ac:dyDescent="0.45">
      <c r="B56" s="10"/>
      <c r="C56" s="10"/>
      <c r="D56" s="10"/>
      <c r="E56" s="10"/>
      <c r="F56" s="10"/>
      <c r="G56" s="10"/>
    </row>
    <row r="57" spans="2:7" s="3" customFormat="1" ht="20" customHeight="1" x14ac:dyDescent="0.45">
      <c r="B57" s="10"/>
      <c r="C57" s="10"/>
      <c r="D57" s="10"/>
      <c r="E57" s="10"/>
      <c r="F57" s="10"/>
      <c r="G57" s="10"/>
    </row>
    <row r="58" spans="2:7" s="3" customFormat="1" ht="20" customHeight="1" x14ac:dyDescent="0.45">
      <c r="B58" s="10"/>
      <c r="C58" s="10"/>
      <c r="D58" s="10"/>
      <c r="E58" s="10"/>
      <c r="F58" s="10"/>
      <c r="G58" s="10"/>
    </row>
    <row r="59" spans="2:7" s="3" customFormat="1" ht="20" customHeight="1" x14ac:dyDescent="0.45">
      <c r="B59" s="10"/>
      <c r="C59" s="10"/>
      <c r="D59" s="10"/>
      <c r="E59" s="10"/>
      <c r="F59" s="10"/>
      <c r="G59" s="10"/>
    </row>
    <row r="60" spans="2:7" s="3" customFormat="1" ht="20" customHeight="1" x14ac:dyDescent="0.45">
      <c r="B60" s="10"/>
      <c r="C60" s="10"/>
      <c r="D60" s="10"/>
      <c r="E60" s="10"/>
      <c r="F60" s="10"/>
      <c r="G60" s="10"/>
    </row>
    <row r="61" spans="2:7" s="3" customFormat="1" ht="20" customHeight="1" x14ac:dyDescent="0.45">
      <c r="B61" s="10"/>
      <c r="C61" s="10"/>
      <c r="D61" s="10"/>
      <c r="E61" s="10"/>
      <c r="F61" s="10"/>
      <c r="G61" s="10"/>
    </row>
    <row r="62" spans="2:7" s="3" customFormat="1" ht="20" customHeight="1" x14ac:dyDescent="0.45">
      <c r="B62" s="10"/>
      <c r="C62" s="10"/>
      <c r="D62" s="10"/>
      <c r="E62" s="10"/>
      <c r="F62" s="10"/>
      <c r="G62" s="10"/>
    </row>
    <row r="63" spans="2:7" s="3" customFormat="1" ht="20" customHeight="1" x14ac:dyDescent="0.45">
      <c r="B63" s="10"/>
      <c r="C63" s="10"/>
      <c r="D63" s="10"/>
      <c r="E63" s="10"/>
      <c r="F63" s="10"/>
      <c r="G63" s="10"/>
    </row>
    <row r="64" spans="2:7" s="3" customFormat="1" ht="20" customHeight="1" x14ac:dyDescent="0.45">
      <c r="B64" s="10"/>
      <c r="C64" s="10"/>
      <c r="D64" s="10"/>
      <c r="E64" s="10"/>
      <c r="F64" s="10"/>
      <c r="G64" s="10"/>
    </row>
    <row r="65" spans="2:7" s="3" customFormat="1" ht="20" customHeight="1" x14ac:dyDescent="0.45">
      <c r="B65" s="10"/>
      <c r="C65" s="10"/>
      <c r="D65" s="10"/>
      <c r="E65" s="10"/>
      <c r="F65" s="10"/>
      <c r="G65" s="10"/>
    </row>
    <row r="66" spans="2:7" s="3" customFormat="1" ht="20" customHeight="1" x14ac:dyDescent="0.45">
      <c r="B66" s="10"/>
      <c r="C66" s="10"/>
      <c r="D66" s="10"/>
      <c r="E66" s="10"/>
      <c r="F66" s="10"/>
      <c r="G66" s="10"/>
    </row>
    <row r="67" spans="2:7" s="3" customFormat="1" ht="20" customHeight="1" x14ac:dyDescent="0.45">
      <c r="B67" s="10"/>
      <c r="C67" s="10"/>
      <c r="D67" s="10"/>
      <c r="E67" s="10"/>
      <c r="F67" s="10"/>
      <c r="G67" s="10"/>
    </row>
    <row r="68" spans="2:7" s="3" customFormat="1" ht="20" customHeight="1" x14ac:dyDescent="0.45">
      <c r="B68" s="10"/>
      <c r="C68" s="10"/>
      <c r="D68" s="10"/>
      <c r="E68" s="10"/>
      <c r="F68" s="10"/>
      <c r="G68" s="10"/>
    </row>
    <row r="69" spans="2:7" s="3" customFormat="1" ht="20" customHeight="1" x14ac:dyDescent="0.45">
      <c r="B69" s="10"/>
      <c r="C69" s="10"/>
      <c r="D69" s="10"/>
      <c r="E69" s="10"/>
      <c r="F69" s="10"/>
      <c r="G69" s="10"/>
    </row>
    <row r="70" spans="2:7" s="3" customFormat="1" ht="20" customHeight="1" x14ac:dyDescent="0.45">
      <c r="B70" s="10"/>
      <c r="C70" s="10"/>
      <c r="D70" s="10"/>
      <c r="E70" s="10"/>
      <c r="F70" s="10"/>
      <c r="G70" s="10"/>
    </row>
    <row r="71" spans="2:7" s="3" customFormat="1" ht="20" customHeight="1" x14ac:dyDescent="0.45">
      <c r="B71" s="10"/>
      <c r="C71" s="10"/>
      <c r="D71" s="10"/>
      <c r="E71" s="10"/>
      <c r="F71" s="10"/>
      <c r="G71" s="10"/>
    </row>
    <row r="72" spans="2:7" s="3" customFormat="1" ht="20" customHeight="1" x14ac:dyDescent="0.45">
      <c r="B72" s="10"/>
      <c r="C72" s="10"/>
      <c r="D72" s="10"/>
      <c r="E72" s="10"/>
      <c r="F72" s="10"/>
      <c r="G72" s="10"/>
    </row>
    <row r="73" spans="2:7" s="3" customFormat="1" ht="20" customHeight="1" x14ac:dyDescent="0.45">
      <c r="B73" s="10"/>
      <c r="C73" s="10"/>
      <c r="D73" s="10"/>
      <c r="E73" s="10"/>
      <c r="F73" s="10"/>
      <c r="G73" s="10"/>
    </row>
    <row r="74" spans="2:7" s="3" customFormat="1" ht="20" customHeight="1" x14ac:dyDescent="0.45">
      <c r="B74" s="10"/>
      <c r="C74" s="10"/>
      <c r="D74" s="10"/>
      <c r="E74" s="10"/>
      <c r="F74" s="10"/>
      <c r="G74" s="10"/>
    </row>
    <row r="75" spans="2:7" s="3" customFormat="1" ht="20" customHeight="1" x14ac:dyDescent="0.45">
      <c r="B75" s="10"/>
      <c r="C75" s="10"/>
      <c r="D75" s="10"/>
      <c r="E75" s="10"/>
      <c r="F75" s="10"/>
      <c r="G75" s="10"/>
    </row>
    <row r="76" spans="2:7" s="3" customFormat="1" ht="20" customHeight="1" x14ac:dyDescent="0.45">
      <c r="B76" s="10"/>
      <c r="C76" s="10"/>
      <c r="D76" s="10"/>
      <c r="E76" s="10"/>
      <c r="F76" s="10"/>
      <c r="G76" s="10"/>
    </row>
    <row r="77" spans="2:7" s="3" customFormat="1" ht="20" customHeight="1" x14ac:dyDescent="0.45">
      <c r="B77" s="10"/>
      <c r="C77" s="10"/>
      <c r="D77" s="10"/>
      <c r="E77" s="10"/>
      <c r="F77" s="10"/>
      <c r="G77" s="10"/>
    </row>
    <row r="78" spans="2:7" s="3" customFormat="1" ht="20" customHeight="1" x14ac:dyDescent="0.45">
      <c r="B78" s="10"/>
      <c r="C78" s="10"/>
      <c r="D78" s="10"/>
      <c r="E78" s="10"/>
      <c r="F78" s="10"/>
      <c r="G78" s="10"/>
    </row>
    <row r="79" spans="2:7" s="3" customFormat="1" ht="20" customHeight="1" x14ac:dyDescent="0.45">
      <c r="B79" s="10"/>
      <c r="C79" s="10"/>
      <c r="D79" s="10"/>
      <c r="E79" s="10"/>
      <c r="F79" s="10"/>
      <c r="G79" s="10"/>
    </row>
    <row r="80" spans="2:7" s="3" customFormat="1" ht="20" customHeight="1" x14ac:dyDescent="0.45">
      <c r="B80" s="10"/>
      <c r="C80" s="10"/>
      <c r="D80" s="10"/>
      <c r="E80" s="10"/>
      <c r="F80" s="10"/>
      <c r="G80" s="10"/>
    </row>
    <row r="81" spans="2:7" s="3" customFormat="1" ht="20" customHeight="1" x14ac:dyDescent="0.45">
      <c r="B81" s="10"/>
      <c r="C81" s="10"/>
      <c r="D81" s="10"/>
      <c r="E81" s="10"/>
      <c r="F81" s="10"/>
      <c r="G81" s="10"/>
    </row>
    <row r="82" spans="2:7" s="3" customFormat="1" ht="20" customHeight="1" x14ac:dyDescent="0.45">
      <c r="B82" s="10"/>
      <c r="C82" s="10"/>
      <c r="D82" s="10"/>
      <c r="E82" s="10"/>
      <c r="F82" s="10"/>
      <c r="G82" s="10"/>
    </row>
    <row r="83" spans="2:7" s="3" customFormat="1" ht="20" customHeight="1" x14ac:dyDescent="0.45">
      <c r="B83" s="10"/>
      <c r="C83" s="10"/>
      <c r="D83" s="10"/>
      <c r="E83" s="10"/>
      <c r="F83" s="10"/>
      <c r="G83" s="10"/>
    </row>
    <row r="84" spans="2:7" s="3" customFormat="1" ht="20" customHeight="1" x14ac:dyDescent="0.45">
      <c r="B84" s="10"/>
      <c r="C84" s="10"/>
      <c r="D84" s="10"/>
      <c r="E84" s="10"/>
      <c r="F84" s="10"/>
      <c r="G84" s="10"/>
    </row>
    <row r="85" spans="2:7" s="3" customFormat="1" ht="20" customHeight="1" x14ac:dyDescent="0.45">
      <c r="B85" s="10"/>
      <c r="C85" s="10"/>
      <c r="D85" s="10"/>
      <c r="E85" s="10"/>
      <c r="F85" s="10"/>
      <c r="G85" s="10"/>
    </row>
    <row r="86" spans="2:7" s="3" customFormat="1" ht="20" customHeight="1" x14ac:dyDescent="0.45">
      <c r="B86" s="10"/>
      <c r="C86" s="10"/>
      <c r="D86" s="10"/>
      <c r="E86" s="10"/>
      <c r="F86" s="10"/>
      <c r="G86" s="10"/>
    </row>
    <row r="87" spans="2:7" s="3" customFormat="1" ht="20" customHeight="1" x14ac:dyDescent="0.45">
      <c r="B87" s="10"/>
      <c r="C87" s="10"/>
      <c r="D87" s="10"/>
      <c r="E87" s="10"/>
      <c r="F87" s="10"/>
      <c r="G87" s="10"/>
    </row>
    <row r="88" spans="2:7" s="3" customFormat="1" ht="20" customHeight="1" x14ac:dyDescent="0.45">
      <c r="B88" s="10"/>
      <c r="C88" s="10"/>
      <c r="D88" s="10"/>
      <c r="E88" s="10"/>
      <c r="F88" s="10"/>
      <c r="G88" s="10"/>
    </row>
    <row r="89" spans="2:7" s="3" customFormat="1" ht="20" customHeight="1" x14ac:dyDescent="0.45">
      <c r="B89" s="10"/>
      <c r="C89" s="10"/>
      <c r="D89" s="10"/>
      <c r="E89" s="10"/>
      <c r="F89" s="10"/>
      <c r="G89" s="10"/>
    </row>
    <row r="90" spans="2:7" s="3" customFormat="1" ht="20" customHeight="1" x14ac:dyDescent="0.45">
      <c r="B90" s="10"/>
      <c r="C90" s="10"/>
      <c r="D90" s="10"/>
      <c r="E90" s="10"/>
      <c r="F90" s="10"/>
      <c r="G90" s="10"/>
    </row>
    <row r="91" spans="2:7" s="3" customFormat="1" ht="20" customHeight="1" x14ac:dyDescent="0.45">
      <c r="B91" s="10"/>
      <c r="C91" s="10"/>
      <c r="D91" s="10"/>
      <c r="E91" s="10"/>
      <c r="F91" s="10"/>
      <c r="G91" s="10"/>
    </row>
    <row r="92" spans="2:7" s="3" customFormat="1" ht="20" customHeight="1" x14ac:dyDescent="0.45">
      <c r="B92" s="10"/>
      <c r="C92" s="10"/>
      <c r="D92" s="10"/>
      <c r="E92" s="10"/>
      <c r="F92" s="10"/>
      <c r="G92" s="10"/>
    </row>
    <row r="93" spans="2:7" s="3" customFormat="1" ht="20" customHeight="1" x14ac:dyDescent="0.45">
      <c r="B93" s="10"/>
      <c r="C93" s="10"/>
      <c r="D93" s="10"/>
      <c r="E93" s="10"/>
      <c r="F93" s="10"/>
      <c r="G93" s="10"/>
    </row>
    <row r="94" spans="2:7" s="3" customFormat="1" ht="20" customHeight="1" x14ac:dyDescent="0.45">
      <c r="B94" s="10"/>
      <c r="C94" s="10"/>
      <c r="D94" s="10"/>
      <c r="E94" s="10"/>
      <c r="F94" s="10"/>
      <c r="G94" s="10"/>
    </row>
    <row r="95" spans="2:7" s="3" customFormat="1" ht="20" customHeight="1" x14ac:dyDescent="0.45">
      <c r="B95" s="10"/>
      <c r="C95" s="10"/>
      <c r="D95" s="10"/>
      <c r="E95" s="10"/>
      <c r="F95" s="10"/>
      <c r="G95" s="10"/>
    </row>
    <row r="96" spans="2:7" s="3" customFormat="1" ht="20" customHeight="1" x14ac:dyDescent="0.45">
      <c r="B96" s="10"/>
      <c r="C96" s="10"/>
      <c r="D96" s="10"/>
      <c r="E96" s="10"/>
      <c r="F96" s="10"/>
      <c r="G96" s="10"/>
    </row>
    <row r="97" spans="2:7" s="3" customFormat="1" ht="20" customHeight="1" x14ac:dyDescent="0.45">
      <c r="B97" s="10"/>
      <c r="C97" s="10"/>
      <c r="D97" s="10"/>
      <c r="E97" s="10"/>
      <c r="F97" s="10"/>
      <c r="G97" s="10"/>
    </row>
    <row r="98" spans="2:7" s="3" customFormat="1" ht="20" customHeight="1" x14ac:dyDescent="0.45">
      <c r="B98" s="10"/>
      <c r="C98" s="10"/>
      <c r="D98" s="10"/>
      <c r="E98" s="10"/>
      <c r="F98" s="10"/>
      <c r="G98" s="10"/>
    </row>
    <row r="99" spans="2:7" s="3" customFormat="1" ht="20" customHeight="1" x14ac:dyDescent="0.45">
      <c r="B99" s="10"/>
      <c r="C99" s="10"/>
      <c r="D99" s="10"/>
      <c r="E99" s="10"/>
      <c r="F99" s="10"/>
      <c r="G99" s="10"/>
    </row>
    <row r="100" spans="2:7" s="3" customFormat="1" ht="20" customHeight="1" x14ac:dyDescent="0.45">
      <c r="B100" s="10"/>
      <c r="C100" s="10"/>
      <c r="D100" s="10"/>
      <c r="E100" s="10"/>
      <c r="F100" s="10"/>
      <c r="G100" s="10"/>
    </row>
  </sheetData>
  <autoFilter ref="A1:H36" xr:uid="{00000000-0001-0000-0000-000000000000}">
    <sortState xmlns:xlrd2="http://schemas.microsoft.com/office/spreadsheetml/2017/richdata2" ref="A2:H36">
      <sortCondition ref="B1:B36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8"/>
  <sheetViews>
    <sheetView zoomScale="91" zoomScaleNormal="100" workbookViewId="0">
      <selection activeCell="C4" sqref="C4"/>
    </sheetView>
  </sheetViews>
  <sheetFormatPr defaultColWidth="8.6640625" defaultRowHeight="14" x14ac:dyDescent="0.3"/>
  <cols>
    <col min="1" max="1" width="29.58203125" style="1" bestFit="1" customWidth="1"/>
    <col min="2" max="2" width="20.58203125" style="8" customWidth="1"/>
    <col min="3" max="4" width="20.58203125" style="1" customWidth="1"/>
    <col min="5" max="8" width="20.58203125" style="8" customWidth="1"/>
    <col min="9" max="16384" width="8.6640625" style="1"/>
  </cols>
  <sheetData>
    <row r="1" spans="1:8" s="3" customFormat="1" ht="20" customHeight="1" x14ac:dyDescent="0.45">
      <c r="A1" s="2" t="s">
        <v>0</v>
      </c>
      <c r="B1" s="2" t="s">
        <v>1</v>
      </c>
      <c r="C1" s="2" t="s">
        <v>60</v>
      </c>
      <c r="D1" s="2" t="s">
        <v>61</v>
      </c>
      <c r="E1" s="2" t="s">
        <v>59</v>
      </c>
      <c r="F1" s="2" t="s">
        <v>94</v>
      </c>
      <c r="G1" s="2" t="s">
        <v>103</v>
      </c>
      <c r="H1" s="2"/>
    </row>
    <row r="2" spans="1:8" s="3" customFormat="1" ht="20" customHeight="1" x14ac:dyDescent="0.45">
      <c r="A2" s="4" t="s">
        <v>4</v>
      </c>
      <c r="B2" s="7">
        <v>101001</v>
      </c>
      <c r="C2" s="6">
        <v>45758</v>
      </c>
      <c r="D2" s="6">
        <v>46022</v>
      </c>
      <c r="E2" s="18" t="s">
        <v>62</v>
      </c>
      <c r="F2" s="7" t="s">
        <v>91</v>
      </c>
      <c r="G2" s="7">
        <v>4</v>
      </c>
      <c r="H2" s="7"/>
    </row>
    <row r="3" spans="1:8" s="3" customFormat="1" ht="20" customHeight="1" x14ac:dyDescent="0.45">
      <c r="A3" s="4" t="s">
        <v>4</v>
      </c>
      <c r="B3" s="7">
        <v>101001</v>
      </c>
      <c r="C3" s="6">
        <v>45758</v>
      </c>
      <c r="D3" s="6">
        <v>46022</v>
      </c>
      <c r="E3" s="18" t="s">
        <v>63</v>
      </c>
      <c r="F3" s="7" t="s">
        <v>91</v>
      </c>
      <c r="G3" s="7">
        <v>1</v>
      </c>
      <c r="H3" s="7"/>
    </row>
    <row r="4" spans="1:8" s="3" customFormat="1" ht="20" customHeight="1" x14ac:dyDescent="0.45">
      <c r="A4" s="4" t="s">
        <v>4</v>
      </c>
      <c r="B4" s="7">
        <v>101001</v>
      </c>
      <c r="C4" s="6">
        <v>45758</v>
      </c>
      <c r="D4" s="6">
        <v>46022</v>
      </c>
      <c r="E4" s="18" t="s">
        <v>64</v>
      </c>
      <c r="F4" s="7" t="s">
        <v>91</v>
      </c>
      <c r="G4" s="7">
        <v>1</v>
      </c>
      <c r="H4" s="7"/>
    </row>
    <row r="5" spans="1:8" s="3" customFormat="1" ht="20" customHeight="1" x14ac:dyDescent="0.45">
      <c r="A5" s="4" t="s">
        <v>4</v>
      </c>
      <c r="B5" s="7">
        <v>101001</v>
      </c>
      <c r="C5" s="6">
        <v>45758</v>
      </c>
      <c r="D5" s="6">
        <v>46022</v>
      </c>
      <c r="E5" s="18" t="s">
        <v>65</v>
      </c>
      <c r="F5" s="7" t="s">
        <v>91</v>
      </c>
      <c r="G5" s="7">
        <v>1</v>
      </c>
      <c r="H5" s="7"/>
    </row>
    <row r="6" spans="1:8" s="3" customFormat="1" ht="20" customHeight="1" x14ac:dyDescent="0.45">
      <c r="A6" s="4" t="s">
        <v>4</v>
      </c>
      <c r="B6" s="7">
        <v>101001</v>
      </c>
      <c r="C6" s="6">
        <v>45758</v>
      </c>
      <c r="D6" s="6">
        <v>46022</v>
      </c>
      <c r="E6" s="18" t="s">
        <v>66</v>
      </c>
      <c r="F6" s="7" t="s">
        <v>91</v>
      </c>
      <c r="G6" s="7">
        <v>1</v>
      </c>
      <c r="H6" s="7"/>
    </row>
    <row r="7" spans="1:8" s="3" customFormat="1" ht="20" customHeight="1" x14ac:dyDescent="0.45">
      <c r="A7" s="4" t="s">
        <v>4</v>
      </c>
      <c r="B7" s="7">
        <v>101001</v>
      </c>
      <c r="C7" s="6">
        <v>45758</v>
      </c>
      <c r="D7" s="6">
        <v>46022</v>
      </c>
      <c r="E7" s="18" t="s">
        <v>67</v>
      </c>
      <c r="F7" s="7" t="s">
        <v>91</v>
      </c>
      <c r="G7" s="7">
        <v>1</v>
      </c>
      <c r="H7" s="7"/>
    </row>
    <row r="8" spans="1:8" s="3" customFormat="1" ht="20" customHeight="1" x14ac:dyDescent="0.45">
      <c r="A8" s="4" t="s">
        <v>4</v>
      </c>
      <c r="B8" s="7">
        <v>101001</v>
      </c>
      <c r="C8" s="6">
        <v>45758</v>
      </c>
      <c r="D8" s="6">
        <v>46022</v>
      </c>
      <c r="E8" s="18" t="s">
        <v>68</v>
      </c>
      <c r="F8" s="7" t="s">
        <v>91</v>
      </c>
      <c r="G8" s="7">
        <v>1</v>
      </c>
      <c r="H8" s="7"/>
    </row>
    <row r="9" spans="1:8" s="3" customFormat="1" ht="20" customHeight="1" x14ac:dyDescent="0.45">
      <c r="A9" s="4" t="s">
        <v>5</v>
      </c>
      <c r="B9" s="7">
        <v>102001</v>
      </c>
      <c r="C9" s="6">
        <v>45757</v>
      </c>
      <c r="D9" s="6">
        <v>46022</v>
      </c>
      <c r="E9" s="7" t="s">
        <v>62</v>
      </c>
      <c r="F9" s="7" t="s">
        <v>91</v>
      </c>
      <c r="G9" s="7">
        <v>4</v>
      </c>
      <c r="H9" s="7"/>
    </row>
    <row r="10" spans="1:8" s="3" customFormat="1" ht="20" customHeight="1" x14ac:dyDescent="0.45">
      <c r="A10" s="4" t="s">
        <v>5</v>
      </c>
      <c r="B10" s="7">
        <v>102001</v>
      </c>
      <c r="C10" s="6">
        <v>45757</v>
      </c>
      <c r="D10" s="6">
        <v>46022</v>
      </c>
      <c r="E10" s="7" t="s">
        <v>63</v>
      </c>
      <c r="F10" s="7" t="s">
        <v>91</v>
      </c>
      <c r="G10" s="7">
        <v>1</v>
      </c>
      <c r="H10" s="7"/>
    </row>
    <row r="11" spans="1:8" s="3" customFormat="1" ht="20" customHeight="1" x14ac:dyDescent="0.45">
      <c r="A11" s="4" t="s">
        <v>5</v>
      </c>
      <c r="B11" s="7">
        <v>102001</v>
      </c>
      <c r="C11" s="6">
        <v>45757</v>
      </c>
      <c r="D11" s="6">
        <v>46022</v>
      </c>
      <c r="E11" s="7" t="s">
        <v>64</v>
      </c>
      <c r="F11" s="7" t="s">
        <v>91</v>
      </c>
      <c r="G11" s="7">
        <v>1</v>
      </c>
      <c r="H11" s="7"/>
    </row>
    <row r="12" spans="1:8" s="3" customFormat="1" ht="20" customHeight="1" x14ac:dyDescent="0.45">
      <c r="A12" s="4" t="s">
        <v>5</v>
      </c>
      <c r="B12" s="7">
        <v>102001</v>
      </c>
      <c r="C12" s="6">
        <v>45757</v>
      </c>
      <c r="D12" s="6">
        <v>46022</v>
      </c>
      <c r="E12" s="7" t="s">
        <v>65</v>
      </c>
      <c r="F12" s="7" t="s">
        <v>91</v>
      </c>
      <c r="G12" s="7">
        <v>1</v>
      </c>
      <c r="H12" s="7"/>
    </row>
    <row r="13" spans="1:8" s="3" customFormat="1" ht="20" customHeight="1" x14ac:dyDescent="0.45">
      <c r="A13" s="4" t="s">
        <v>5</v>
      </c>
      <c r="B13" s="7">
        <v>102001</v>
      </c>
      <c r="C13" s="6">
        <v>45757</v>
      </c>
      <c r="D13" s="6">
        <v>46022</v>
      </c>
      <c r="E13" s="7" t="s">
        <v>66</v>
      </c>
      <c r="F13" s="7" t="s">
        <v>91</v>
      </c>
      <c r="G13" s="7">
        <v>1</v>
      </c>
      <c r="H13" s="7"/>
    </row>
    <row r="14" spans="1:8" s="3" customFormat="1" ht="20" customHeight="1" x14ac:dyDescent="0.45">
      <c r="A14" s="4" t="s">
        <v>5</v>
      </c>
      <c r="B14" s="7">
        <v>102001</v>
      </c>
      <c r="C14" s="6">
        <v>45757</v>
      </c>
      <c r="D14" s="6">
        <v>46022</v>
      </c>
      <c r="E14" s="7" t="s">
        <v>67</v>
      </c>
      <c r="F14" s="7" t="s">
        <v>91</v>
      </c>
      <c r="G14" s="7">
        <v>1</v>
      </c>
      <c r="H14" s="7"/>
    </row>
    <row r="15" spans="1:8" s="3" customFormat="1" ht="20" customHeight="1" x14ac:dyDescent="0.45">
      <c r="A15" s="4" t="s">
        <v>5</v>
      </c>
      <c r="B15" s="7">
        <v>102001</v>
      </c>
      <c r="C15" s="6">
        <v>45757</v>
      </c>
      <c r="D15" s="6">
        <v>46022</v>
      </c>
      <c r="E15" s="7" t="s">
        <v>68</v>
      </c>
      <c r="F15" s="7" t="s">
        <v>91</v>
      </c>
      <c r="G15" s="7">
        <v>1</v>
      </c>
      <c r="H15" s="7"/>
    </row>
    <row r="16" spans="1:8" s="3" customFormat="1" ht="20" customHeight="1" x14ac:dyDescent="0.45">
      <c r="A16" s="4" t="s">
        <v>6</v>
      </c>
      <c r="B16" s="7">
        <v>103001</v>
      </c>
      <c r="C16" s="6">
        <v>45764</v>
      </c>
      <c r="D16" s="6">
        <v>46022</v>
      </c>
      <c r="E16" s="7" t="s">
        <v>62</v>
      </c>
      <c r="F16" s="7" t="s">
        <v>90</v>
      </c>
      <c r="G16" s="7">
        <v>4</v>
      </c>
      <c r="H16" s="7"/>
    </row>
    <row r="17" spans="1:8" s="3" customFormat="1" ht="20" customHeight="1" x14ac:dyDescent="0.45">
      <c r="A17" s="4" t="s">
        <v>6</v>
      </c>
      <c r="B17" s="7">
        <v>103001</v>
      </c>
      <c r="C17" s="6">
        <v>45764</v>
      </c>
      <c r="D17" s="6">
        <v>46022</v>
      </c>
      <c r="E17" s="7" t="s">
        <v>63</v>
      </c>
      <c r="F17" s="7" t="s">
        <v>90</v>
      </c>
      <c r="G17" s="7">
        <v>1</v>
      </c>
      <c r="H17" s="7"/>
    </row>
    <row r="18" spans="1:8" s="3" customFormat="1" ht="20" customHeight="1" x14ac:dyDescent="0.45">
      <c r="A18" s="4" t="s">
        <v>6</v>
      </c>
      <c r="B18" s="7">
        <v>103001</v>
      </c>
      <c r="C18" s="6">
        <v>45764</v>
      </c>
      <c r="D18" s="6">
        <v>46022</v>
      </c>
      <c r="E18" s="7" t="s">
        <v>64</v>
      </c>
      <c r="F18" s="7" t="s">
        <v>90</v>
      </c>
      <c r="G18" s="7">
        <v>1</v>
      </c>
      <c r="H18" s="7"/>
    </row>
    <row r="19" spans="1:8" s="3" customFormat="1" ht="20" customHeight="1" x14ac:dyDescent="0.45">
      <c r="A19" s="4" t="s">
        <v>6</v>
      </c>
      <c r="B19" s="7">
        <v>103001</v>
      </c>
      <c r="C19" s="6">
        <v>45764</v>
      </c>
      <c r="D19" s="6">
        <v>46022</v>
      </c>
      <c r="E19" s="7" t="s">
        <v>65</v>
      </c>
      <c r="F19" s="7" t="s">
        <v>90</v>
      </c>
      <c r="G19" s="7">
        <v>1</v>
      </c>
      <c r="H19" s="7"/>
    </row>
    <row r="20" spans="1:8" s="3" customFormat="1" ht="20" customHeight="1" x14ac:dyDescent="0.45">
      <c r="A20" s="4" t="s">
        <v>6</v>
      </c>
      <c r="B20" s="7">
        <v>103001</v>
      </c>
      <c r="C20" s="6">
        <v>45764</v>
      </c>
      <c r="D20" s="6">
        <v>46022</v>
      </c>
      <c r="E20" s="7" t="s">
        <v>66</v>
      </c>
      <c r="F20" s="7" t="s">
        <v>90</v>
      </c>
      <c r="G20" s="7">
        <v>1</v>
      </c>
      <c r="H20" s="7"/>
    </row>
    <row r="21" spans="1:8" s="3" customFormat="1" ht="20" customHeight="1" x14ac:dyDescent="0.45">
      <c r="A21" s="4" t="s">
        <v>6</v>
      </c>
      <c r="B21" s="7">
        <v>103001</v>
      </c>
      <c r="C21" s="6">
        <v>45764</v>
      </c>
      <c r="D21" s="6">
        <v>46022</v>
      </c>
      <c r="E21" s="7" t="s">
        <v>67</v>
      </c>
      <c r="F21" s="7" t="s">
        <v>90</v>
      </c>
      <c r="G21" s="7">
        <v>1</v>
      </c>
      <c r="H21" s="7"/>
    </row>
    <row r="22" spans="1:8" s="3" customFormat="1" ht="20" customHeight="1" x14ac:dyDescent="0.45">
      <c r="A22" s="4" t="s">
        <v>6</v>
      </c>
      <c r="B22" s="7">
        <v>103001</v>
      </c>
      <c r="C22" s="6">
        <v>45764</v>
      </c>
      <c r="D22" s="6">
        <v>46022</v>
      </c>
      <c r="E22" s="7" t="s">
        <v>68</v>
      </c>
      <c r="F22" s="7" t="s">
        <v>90</v>
      </c>
      <c r="G22" s="7">
        <v>1</v>
      </c>
      <c r="H22" s="7"/>
    </row>
    <row r="23" spans="1:8" s="3" customFormat="1" ht="20" customHeight="1" x14ac:dyDescent="0.45">
      <c r="A23" s="4" t="s">
        <v>9</v>
      </c>
      <c r="B23" s="7">
        <v>103004</v>
      </c>
      <c r="C23" s="6">
        <v>45757</v>
      </c>
      <c r="D23" s="6">
        <v>46022</v>
      </c>
      <c r="E23" s="7" t="s">
        <v>62</v>
      </c>
      <c r="F23" s="7" t="s">
        <v>91</v>
      </c>
      <c r="G23" s="7">
        <v>4</v>
      </c>
      <c r="H23" s="7"/>
    </row>
    <row r="24" spans="1:8" s="3" customFormat="1" ht="20" customHeight="1" x14ac:dyDescent="0.45">
      <c r="A24" s="4" t="s">
        <v>9</v>
      </c>
      <c r="B24" s="7">
        <v>103004</v>
      </c>
      <c r="C24" s="6">
        <v>45757</v>
      </c>
      <c r="D24" s="6">
        <v>46022</v>
      </c>
      <c r="E24" s="7" t="s">
        <v>63</v>
      </c>
      <c r="F24" s="7" t="s">
        <v>91</v>
      </c>
      <c r="G24" s="7">
        <v>1</v>
      </c>
      <c r="H24" s="7"/>
    </row>
    <row r="25" spans="1:8" s="3" customFormat="1" ht="20" customHeight="1" x14ac:dyDescent="0.45">
      <c r="A25" s="4" t="s">
        <v>9</v>
      </c>
      <c r="B25" s="7">
        <v>103004</v>
      </c>
      <c r="C25" s="6">
        <v>45757</v>
      </c>
      <c r="D25" s="6">
        <v>46022</v>
      </c>
      <c r="E25" s="7" t="s">
        <v>64</v>
      </c>
      <c r="F25" s="7" t="s">
        <v>91</v>
      </c>
      <c r="G25" s="7">
        <v>1</v>
      </c>
      <c r="H25" s="7"/>
    </row>
    <row r="26" spans="1:8" s="3" customFormat="1" ht="20" customHeight="1" x14ac:dyDescent="0.45">
      <c r="A26" s="4" t="s">
        <v>9</v>
      </c>
      <c r="B26" s="7">
        <v>103004</v>
      </c>
      <c r="C26" s="6">
        <v>45757</v>
      </c>
      <c r="D26" s="6">
        <v>46022</v>
      </c>
      <c r="E26" s="7" t="s">
        <v>65</v>
      </c>
      <c r="F26" s="7" t="s">
        <v>91</v>
      </c>
      <c r="G26" s="7">
        <v>1</v>
      </c>
      <c r="H26" s="7"/>
    </row>
    <row r="27" spans="1:8" s="3" customFormat="1" ht="20" customHeight="1" x14ac:dyDescent="0.45">
      <c r="A27" s="4" t="s">
        <v>9</v>
      </c>
      <c r="B27" s="7">
        <v>103004</v>
      </c>
      <c r="C27" s="6">
        <v>45757</v>
      </c>
      <c r="D27" s="6">
        <v>46022</v>
      </c>
      <c r="E27" s="7" t="s">
        <v>66</v>
      </c>
      <c r="F27" s="7" t="s">
        <v>91</v>
      </c>
      <c r="G27" s="7">
        <v>1</v>
      </c>
      <c r="H27" s="7"/>
    </row>
    <row r="28" spans="1:8" s="3" customFormat="1" ht="20" customHeight="1" x14ac:dyDescent="0.45">
      <c r="A28" s="4" t="s">
        <v>9</v>
      </c>
      <c r="B28" s="7">
        <v>103004</v>
      </c>
      <c r="C28" s="6">
        <v>45757</v>
      </c>
      <c r="D28" s="6">
        <v>46022</v>
      </c>
      <c r="E28" s="7" t="s">
        <v>67</v>
      </c>
      <c r="F28" s="7" t="s">
        <v>91</v>
      </c>
      <c r="G28" s="7">
        <v>1</v>
      </c>
      <c r="H28" s="7"/>
    </row>
    <row r="29" spans="1:8" s="3" customFormat="1" ht="20" customHeight="1" x14ac:dyDescent="0.45">
      <c r="A29" s="4" t="s">
        <v>9</v>
      </c>
      <c r="B29" s="7">
        <v>103004</v>
      </c>
      <c r="C29" s="6">
        <v>45757</v>
      </c>
      <c r="D29" s="6">
        <v>46022</v>
      </c>
      <c r="E29" s="7" t="s">
        <v>68</v>
      </c>
      <c r="F29" s="7" t="s">
        <v>91</v>
      </c>
      <c r="G29" s="7">
        <v>1</v>
      </c>
      <c r="H29" s="7"/>
    </row>
    <row r="30" spans="1:8" s="3" customFormat="1" ht="20" customHeight="1" x14ac:dyDescent="0.45">
      <c r="A30" s="4" t="s">
        <v>10</v>
      </c>
      <c r="B30" s="7">
        <v>104001</v>
      </c>
      <c r="C30" s="6">
        <v>45839</v>
      </c>
      <c r="D30" s="6">
        <v>46204</v>
      </c>
      <c r="E30" s="7" t="s">
        <v>62</v>
      </c>
      <c r="F30" s="7" t="s">
        <v>90</v>
      </c>
      <c r="G30" s="7">
        <v>4</v>
      </c>
      <c r="H30" s="7"/>
    </row>
    <row r="31" spans="1:8" s="3" customFormat="1" ht="20" customHeight="1" x14ac:dyDescent="0.45">
      <c r="A31" s="4" t="s">
        <v>10</v>
      </c>
      <c r="B31" s="7">
        <v>104001</v>
      </c>
      <c r="C31" s="6">
        <v>45839</v>
      </c>
      <c r="D31" s="6">
        <v>46204</v>
      </c>
      <c r="E31" s="7" t="s">
        <v>63</v>
      </c>
      <c r="F31" s="7" t="s">
        <v>90</v>
      </c>
      <c r="G31" s="7">
        <v>1</v>
      </c>
      <c r="H31" s="7"/>
    </row>
    <row r="32" spans="1:8" s="3" customFormat="1" ht="20" customHeight="1" x14ac:dyDescent="0.45">
      <c r="A32" s="4" t="s">
        <v>10</v>
      </c>
      <c r="B32" s="7">
        <v>104001</v>
      </c>
      <c r="C32" s="6">
        <v>45839</v>
      </c>
      <c r="D32" s="6">
        <v>46204</v>
      </c>
      <c r="E32" s="7" t="s">
        <v>64</v>
      </c>
      <c r="F32" s="7" t="s">
        <v>90</v>
      </c>
      <c r="G32" s="7">
        <v>1</v>
      </c>
      <c r="H32" s="7"/>
    </row>
    <row r="33" spans="1:8" s="3" customFormat="1" ht="20" customHeight="1" x14ac:dyDescent="0.45">
      <c r="A33" s="4" t="s">
        <v>10</v>
      </c>
      <c r="B33" s="7">
        <v>104001</v>
      </c>
      <c r="C33" s="6">
        <v>45839</v>
      </c>
      <c r="D33" s="6">
        <v>46204</v>
      </c>
      <c r="E33" s="7" t="s">
        <v>65</v>
      </c>
      <c r="F33" s="7" t="s">
        <v>90</v>
      </c>
      <c r="G33" s="7">
        <v>1</v>
      </c>
      <c r="H33" s="7"/>
    </row>
    <row r="34" spans="1:8" s="3" customFormat="1" ht="20" customHeight="1" x14ac:dyDescent="0.45">
      <c r="A34" s="4" t="s">
        <v>10</v>
      </c>
      <c r="B34" s="7">
        <v>104001</v>
      </c>
      <c r="C34" s="6">
        <v>45839</v>
      </c>
      <c r="D34" s="6">
        <v>46204</v>
      </c>
      <c r="E34" s="7" t="s">
        <v>66</v>
      </c>
      <c r="F34" s="7" t="s">
        <v>90</v>
      </c>
      <c r="G34" s="7">
        <v>1</v>
      </c>
      <c r="H34" s="7"/>
    </row>
    <row r="35" spans="1:8" s="3" customFormat="1" ht="20" customHeight="1" x14ac:dyDescent="0.45">
      <c r="A35" s="4" t="s">
        <v>10</v>
      </c>
      <c r="B35" s="7">
        <v>104001</v>
      </c>
      <c r="C35" s="6">
        <v>45839</v>
      </c>
      <c r="D35" s="6">
        <v>46204</v>
      </c>
      <c r="E35" s="7" t="s">
        <v>67</v>
      </c>
      <c r="F35" s="7" t="s">
        <v>90</v>
      </c>
      <c r="G35" s="7">
        <v>1</v>
      </c>
      <c r="H35" s="7"/>
    </row>
    <row r="36" spans="1:8" s="3" customFormat="1" ht="20" customHeight="1" x14ac:dyDescent="0.45">
      <c r="A36" s="4" t="s">
        <v>10</v>
      </c>
      <c r="B36" s="7">
        <v>104001</v>
      </c>
      <c r="C36" s="6">
        <v>45839</v>
      </c>
      <c r="D36" s="6">
        <v>46204</v>
      </c>
      <c r="E36" s="7" t="s">
        <v>68</v>
      </c>
      <c r="F36" s="7" t="s">
        <v>90</v>
      </c>
      <c r="G36" s="7">
        <v>1</v>
      </c>
      <c r="H36" s="7"/>
    </row>
    <row r="37" spans="1:8" s="3" customFormat="1" ht="20" customHeight="1" x14ac:dyDescent="0.45">
      <c r="A37" s="4" t="s">
        <v>13</v>
      </c>
      <c r="B37" s="7">
        <v>105001</v>
      </c>
      <c r="C37" s="5"/>
      <c r="D37" s="5"/>
      <c r="E37" s="7" t="s">
        <v>62</v>
      </c>
      <c r="F37" s="7" t="s">
        <v>90</v>
      </c>
      <c r="G37" s="7">
        <v>4</v>
      </c>
      <c r="H37" s="7"/>
    </row>
    <row r="38" spans="1:8" s="3" customFormat="1" ht="20" customHeight="1" x14ac:dyDescent="0.45">
      <c r="A38" s="4" t="s">
        <v>13</v>
      </c>
      <c r="B38" s="7">
        <v>105001</v>
      </c>
      <c r="C38" s="5"/>
      <c r="D38" s="5"/>
      <c r="E38" s="7" t="s">
        <v>63</v>
      </c>
      <c r="F38" s="7" t="s">
        <v>90</v>
      </c>
      <c r="G38" s="7">
        <v>1</v>
      </c>
      <c r="H38" s="7"/>
    </row>
    <row r="39" spans="1:8" s="3" customFormat="1" ht="20" customHeight="1" x14ac:dyDescent="0.45">
      <c r="A39" s="4" t="s">
        <v>13</v>
      </c>
      <c r="B39" s="7">
        <v>105001</v>
      </c>
      <c r="C39" s="5"/>
      <c r="D39" s="5"/>
      <c r="E39" s="7" t="s">
        <v>64</v>
      </c>
      <c r="F39" s="7" t="s">
        <v>90</v>
      </c>
      <c r="G39" s="7">
        <v>1</v>
      </c>
      <c r="H39" s="7"/>
    </row>
    <row r="40" spans="1:8" s="3" customFormat="1" ht="20" customHeight="1" x14ac:dyDescent="0.45">
      <c r="A40" s="4" t="s">
        <v>13</v>
      </c>
      <c r="B40" s="7">
        <v>105001</v>
      </c>
      <c r="C40" s="5"/>
      <c r="D40" s="5"/>
      <c r="E40" s="7" t="s">
        <v>65</v>
      </c>
      <c r="F40" s="7" t="s">
        <v>90</v>
      </c>
      <c r="G40" s="7">
        <v>1</v>
      </c>
      <c r="H40" s="7"/>
    </row>
    <row r="41" spans="1:8" s="3" customFormat="1" ht="20" customHeight="1" x14ac:dyDescent="0.45">
      <c r="A41" s="4" t="s">
        <v>13</v>
      </c>
      <c r="B41" s="7">
        <v>105001</v>
      </c>
      <c r="C41" s="5"/>
      <c r="D41" s="5"/>
      <c r="E41" s="7" t="s">
        <v>66</v>
      </c>
      <c r="F41" s="7" t="s">
        <v>90</v>
      </c>
      <c r="G41" s="7">
        <v>1</v>
      </c>
      <c r="H41" s="7"/>
    </row>
    <row r="42" spans="1:8" s="3" customFormat="1" ht="20" customHeight="1" x14ac:dyDescent="0.45">
      <c r="A42" s="4" t="s">
        <v>13</v>
      </c>
      <c r="B42" s="7">
        <v>105001</v>
      </c>
      <c r="C42" s="5"/>
      <c r="D42" s="5"/>
      <c r="E42" s="7" t="s">
        <v>67</v>
      </c>
      <c r="F42" s="7" t="s">
        <v>90</v>
      </c>
      <c r="G42" s="7">
        <v>1</v>
      </c>
      <c r="H42" s="7"/>
    </row>
    <row r="43" spans="1:8" s="3" customFormat="1" ht="20" customHeight="1" x14ac:dyDescent="0.45">
      <c r="A43" s="4" t="s">
        <v>13</v>
      </c>
      <c r="B43" s="7">
        <v>105001</v>
      </c>
      <c r="C43" s="5"/>
      <c r="D43" s="5"/>
      <c r="E43" s="7" t="s">
        <v>68</v>
      </c>
      <c r="F43" s="7" t="s">
        <v>90</v>
      </c>
      <c r="G43" s="7">
        <v>1</v>
      </c>
      <c r="H43" s="7"/>
    </row>
    <row r="44" spans="1:8" s="3" customFormat="1" ht="20" customHeight="1" x14ac:dyDescent="0.45">
      <c r="A44" s="4" t="s">
        <v>14</v>
      </c>
      <c r="B44" s="7">
        <v>106001</v>
      </c>
      <c r="C44" s="6">
        <v>45778</v>
      </c>
      <c r="D44" s="6">
        <v>46022</v>
      </c>
      <c r="E44" s="7" t="s">
        <v>62</v>
      </c>
      <c r="F44" s="7" t="s">
        <v>90</v>
      </c>
      <c r="G44" s="7">
        <v>4</v>
      </c>
      <c r="H44" s="7"/>
    </row>
    <row r="45" spans="1:8" s="3" customFormat="1" ht="20" customHeight="1" x14ac:dyDescent="0.45">
      <c r="A45" s="4" t="s">
        <v>14</v>
      </c>
      <c r="B45" s="7">
        <v>106001</v>
      </c>
      <c r="C45" s="6">
        <v>45778</v>
      </c>
      <c r="D45" s="6">
        <v>46022</v>
      </c>
      <c r="E45" s="7" t="s">
        <v>63</v>
      </c>
      <c r="F45" s="7" t="s">
        <v>90</v>
      </c>
      <c r="G45" s="7">
        <v>1</v>
      </c>
      <c r="H45" s="7"/>
    </row>
    <row r="46" spans="1:8" s="3" customFormat="1" ht="20" customHeight="1" x14ac:dyDescent="0.45">
      <c r="A46" s="4" t="s">
        <v>14</v>
      </c>
      <c r="B46" s="7">
        <v>106001</v>
      </c>
      <c r="C46" s="6">
        <v>45778</v>
      </c>
      <c r="D46" s="6">
        <v>46022</v>
      </c>
      <c r="E46" s="7" t="s">
        <v>64</v>
      </c>
      <c r="F46" s="7" t="s">
        <v>90</v>
      </c>
      <c r="G46" s="7">
        <v>1</v>
      </c>
      <c r="H46" s="7"/>
    </row>
    <row r="47" spans="1:8" s="3" customFormat="1" ht="20" customHeight="1" x14ac:dyDescent="0.45">
      <c r="A47" s="4" t="s">
        <v>14</v>
      </c>
      <c r="B47" s="7">
        <v>106001</v>
      </c>
      <c r="C47" s="6">
        <v>45778</v>
      </c>
      <c r="D47" s="6">
        <v>46022</v>
      </c>
      <c r="E47" s="7" t="s">
        <v>65</v>
      </c>
      <c r="F47" s="7" t="s">
        <v>90</v>
      </c>
      <c r="G47" s="7">
        <v>1</v>
      </c>
      <c r="H47" s="7"/>
    </row>
    <row r="48" spans="1:8" s="3" customFormat="1" ht="20" customHeight="1" x14ac:dyDescent="0.45">
      <c r="A48" s="4" t="s">
        <v>14</v>
      </c>
      <c r="B48" s="7">
        <v>106001</v>
      </c>
      <c r="C48" s="6">
        <v>45778</v>
      </c>
      <c r="D48" s="6">
        <v>46022</v>
      </c>
      <c r="E48" s="7" t="s">
        <v>66</v>
      </c>
      <c r="F48" s="7" t="s">
        <v>90</v>
      </c>
      <c r="G48" s="7">
        <v>1</v>
      </c>
      <c r="H48" s="7"/>
    </row>
    <row r="49" spans="1:8" s="3" customFormat="1" ht="20" customHeight="1" x14ac:dyDescent="0.45">
      <c r="A49" s="4" t="s">
        <v>14</v>
      </c>
      <c r="B49" s="7">
        <v>106001</v>
      </c>
      <c r="C49" s="6">
        <v>45778</v>
      </c>
      <c r="D49" s="6">
        <v>46022</v>
      </c>
      <c r="E49" s="7" t="s">
        <v>67</v>
      </c>
      <c r="F49" s="7" t="s">
        <v>90</v>
      </c>
      <c r="G49" s="7">
        <v>1</v>
      </c>
      <c r="H49" s="7"/>
    </row>
    <row r="50" spans="1:8" s="3" customFormat="1" ht="20" customHeight="1" x14ac:dyDescent="0.45">
      <c r="A50" s="4" t="s">
        <v>14</v>
      </c>
      <c r="B50" s="7">
        <v>106001</v>
      </c>
      <c r="C50" s="6">
        <v>45778</v>
      </c>
      <c r="D50" s="6">
        <v>46022</v>
      </c>
      <c r="E50" s="7" t="s">
        <v>68</v>
      </c>
      <c r="F50" s="7" t="s">
        <v>90</v>
      </c>
      <c r="G50" s="7">
        <v>1</v>
      </c>
      <c r="H50" s="7"/>
    </row>
    <row r="51" spans="1:8" s="3" customFormat="1" ht="20" customHeight="1" x14ac:dyDescent="0.45">
      <c r="A51" s="4" t="s">
        <v>15</v>
      </c>
      <c r="B51" s="7">
        <v>107001</v>
      </c>
      <c r="C51" s="6">
        <v>45839</v>
      </c>
      <c r="D51" s="6">
        <v>46204</v>
      </c>
      <c r="E51" s="7" t="s">
        <v>62</v>
      </c>
      <c r="F51" s="7" t="s">
        <v>90</v>
      </c>
      <c r="G51" s="7">
        <v>5</v>
      </c>
      <c r="H51" s="7"/>
    </row>
    <row r="52" spans="1:8" s="3" customFormat="1" ht="20" customHeight="1" x14ac:dyDescent="0.45">
      <c r="A52" s="4" t="s">
        <v>15</v>
      </c>
      <c r="B52" s="7">
        <v>107001</v>
      </c>
      <c r="C52" s="6">
        <v>45839</v>
      </c>
      <c r="D52" s="6">
        <v>46204</v>
      </c>
      <c r="E52" s="7" t="s">
        <v>63</v>
      </c>
      <c r="F52" s="7" t="s">
        <v>90</v>
      </c>
      <c r="G52" s="7">
        <v>1</v>
      </c>
      <c r="H52" s="7"/>
    </row>
    <row r="53" spans="1:8" s="3" customFormat="1" ht="20" customHeight="1" x14ac:dyDescent="0.45">
      <c r="A53" s="4" t="s">
        <v>15</v>
      </c>
      <c r="B53" s="7">
        <v>107001</v>
      </c>
      <c r="C53" s="6">
        <v>45839</v>
      </c>
      <c r="D53" s="6">
        <v>46204</v>
      </c>
      <c r="E53" s="7" t="s">
        <v>64</v>
      </c>
      <c r="F53" s="7" t="s">
        <v>90</v>
      </c>
      <c r="G53" s="7">
        <v>1</v>
      </c>
      <c r="H53" s="7"/>
    </row>
    <row r="54" spans="1:8" s="3" customFormat="1" ht="20" customHeight="1" x14ac:dyDescent="0.45">
      <c r="A54" s="4" t="s">
        <v>15</v>
      </c>
      <c r="B54" s="7">
        <v>107001</v>
      </c>
      <c r="C54" s="6">
        <v>45839</v>
      </c>
      <c r="D54" s="6">
        <v>46204</v>
      </c>
      <c r="E54" s="7" t="s">
        <v>65</v>
      </c>
      <c r="F54" s="7" t="s">
        <v>90</v>
      </c>
      <c r="G54" s="7">
        <v>1</v>
      </c>
      <c r="H54" s="7"/>
    </row>
    <row r="55" spans="1:8" s="3" customFormat="1" ht="20" customHeight="1" x14ac:dyDescent="0.45">
      <c r="A55" s="4" t="s">
        <v>15</v>
      </c>
      <c r="B55" s="7">
        <v>107001</v>
      </c>
      <c r="C55" s="6">
        <v>45839</v>
      </c>
      <c r="D55" s="6">
        <v>46204</v>
      </c>
      <c r="E55" s="7" t="s">
        <v>66</v>
      </c>
      <c r="F55" s="7" t="s">
        <v>90</v>
      </c>
      <c r="G55" s="7">
        <v>1</v>
      </c>
      <c r="H55" s="7"/>
    </row>
    <row r="56" spans="1:8" s="3" customFormat="1" ht="20" customHeight="1" x14ac:dyDescent="0.45">
      <c r="A56" s="4" t="s">
        <v>15</v>
      </c>
      <c r="B56" s="7">
        <v>107001</v>
      </c>
      <c r="C56" s="6">
        <v>45839</v>
      </c>
      <c r="D56" s="6">
        <v>46204</v>
      </c>
      <c r="E56" s="7" t="s">
        <v>67</v>
      </c>
      <c r="F56" s="7" t="s">
        <v>90</v>
      </c>
      <c r="G56" s="7">
        <v>1</v>
      </c>
      <c r="H56" s="7"/>
    </row>
    <row r="57" spans="1:8" s="3" customFormat="1" ht="20" customHeight="1" x14ac:dyDescent="0.45">
      <c r="A57" s="4" t="s">
        <v>15</v>
      </c>
      <c r="B57" s="7">
        <v>107001</v>
      </c>
      <c r="C57" s="6">
        <v>45839</v>
      </c>
      <c r="D57" s="6">
        <v>46204</v>
      </c>
      <c r="E57" s="7" t="s">
        <v>68</v>
      </c>
      <c r="F57" s="7" t="s">
        <v>90</v>
      </c>
      <c r="G57" s="7">
        <v>1</v>
      </c>
      <c r="H57" s="7"/>
    </row>
    <row r="58" spans="1:8" s="3" customFormat="1" ht="20" customHeight="1" x14ac:dyDescent="0.45">
      <c r="A58" s="4" t="s">
        <v>16</v>
      </c>
      <c r="B58" s="7">
        <v>108001</v>
      </c>
      <c r="C58" s="5"/>
      <c r="D58" s="5"/>
      <c r="E58" s="7" t="s">
        <v>62</v>
      </c>
      <c r="F58" s="7" t="s">
        <v>90</v>
      </c>
      <c r="G58" s="7">
        <v>4</v>
      </c>
      <c r="H58" s="7"/>
    </row>
    <row r="59" spans="1:8" s="3" customFormat="1" ht="20" customHeight="1" x14ac:dyDescent="0.45">
      <c r="A59" s="4" t="s">
        <v>16</v>
      </c>
      <c r="B59" s="7">
        <v>108001</v>
      </c>
      <c r="C59" s="5"/>
      <c r="D59" s="5"/>
      <c r="E59" s="7" t="s">
        <v>63</v>
      </c>
      <c r="F59" s="7" t="s">
        <v>90</v>
      </c>
      <c r="G59" s="7">
        <v>1</v>
      </c>
      <c r="H59" s="7"/>
    </row>
    <row r="60" spans="1:8" s="3" customFormat="1" ht="20" customHeight="1" x14ac:dyDescent="0.45">
      <c r="A60" s="4" t="s">
        <v>16</v>
      </c>
      <c r="B60" s="7">
        <v>108001</v>
      </c>
      <c r="C60" s="5"/>
      <c r="D60" s="5"/>
      <c r="E60" s="7" t="s">
        <v>64</v>
      </c>
      <c r="F60" s="7" t="s">
        <v>90</v>
      </c>
      <c r="G60" s="7">
        <v>1</v>
      </c>
      <c r="H60" s="7"/>
    </row>
    <row r="61" spans="1:8" s="3" customFormat="1" ht="20" customHeight="1" x14ac:dyDescent="0.45">
      <c r="A61" s="4" t="s">
        <v>16</v>
      </c>
      <c r="B61" s="7">
        <v>108001</v>
      </c>
      <c r="C61" s="5"/>
      <c r="D61" s="5"/>
      <c r="E61" s="7" t="s">
        <v>65</v>
      </c>
      <c r="F61" s="7" t="s">
        <v>90</v>
      </c>
      <c r="G61" s="7">
        <v>1</v>
      </c>
      <c r="H61" s="7"/>
    </row>
    <row r="62" spans="1:8" s="3" customFormat="1" ht="20" customHeight="1" x14ac:dyDescent="0.45">
      <c r="A62" s="4" t="s">
        <v>16</v>
      </c>
      <c r="B62" s="7">
        <v>108001</v>
      </c>
      <c r="C62" s="5"/>
      <c r="D62" s="5"/>
      <c r="E62" s="7" t="s">
        <v>66</v>
      </c>
      <c r="F62" s="7" t="s">
        <v>90</v>
      </c>
      <c r="G62" s="7">
        <v>1</v>
      </c>
      <c r="H62" s="7"/>
    </row>
    <row r="63" spans="1:8" s="3" customFormat="1" ht="20" customHeight="1" x14ac:dyDescent="0.45">
      <c r="A63" s="4" t="s">
        <v>16</v>
      </c>
      <c r="B63" s="7">
        <v>108001</v>
      </c>
      <c r="C63" s="5"/>
      <c r="D63" s="5"/>
      <c r="E63" s="7" t="s">
        <v>67</v>
      </c>
      <c r="F63" s="7" t="s">
        <v>90</v>
      </c>
      <c r="G63" s="7">
        <v>1</v>
      </c>
      <c r="H63" s="7"/>
    </row>
    <row r="64" spans="1:8" s="3" customFormat="1" ht="20" customHeight="1" x14ac:dyDescent="0.45">
      <c r="A64" s="4" t="s">
        <v>16</v>
      </c>
      <c r="B64" s="7">
        <v>108001</v>
      </c>
      <c r="C64" s="5"/>
      <c r="D64" s="5"/>
      <c r="E64" s="7" t="s">
        <v>68</v>
      </c>
      <c r="F64" s="7" t="s">
        <v>90</v>
      </c>
      <c r="G64" s="7">
        <v>1</v>
      </c>
      <c r="H64" s="7"/>
    </row>
    <row r="65" spans="1:8" s="3" customFormat="1" ht="20" customHeight="1" x14ac:dyDescent="0.45">
      <c r="A65" s="4" t="s">
        <v>17</v>
      </c>
      <c r="B65" s="7">
        <v>108003</v>
      </c>
      <c r="C65" s="6">
        <v>45816</v>
      </c>
      <c r="D65" s="6">
        <v>46022</v>
      </c>
      <c r="E65" s="7" t="s">
        <v>62</v>
      </c>
      <c r="F65" s="7" t="s">
        <v>91</v>
      </c>
      <c r="G65" s="7">
        <v>4</v>
      </c>
      <c r="H65" s="7"/>
    </row>
    <row r="66" spans="1:8" s="3" customFormat="1" ht="20" customHeight="1" x14ac:dyDescent="0.45">
      <c r="A66" s="4" t="s">
        <v>17</v>
      </c>
      <c r="B66" s="7">
        <v>108003</v>
      </c>
      <c r="C66" s="6">
        <v>45816</v>
      </c>
      <c r="D66" s="6">
        <v>46022</v>
      </c>
      <c r="E66" s="7" t="s">
        <v>63</v>
      </c>
      <c r="F66" s="7" t="s">
        <v>91</v>
      </c>
      <c r="G66" s="7">
        <v>1</v>
      </c>
      <c r="H66" s="7"/>
    </row>
    <row r="67" spans="1:8" s="3" customFormat="1" ht="20" customHeight="1" x14ac:dyDescent="0.45">
      <c r="A67" s="4" t="s">
        <v>17</v>
      </c>
      <c r="B67" s="7">
        <v>108003</v>
      </c>
      <c r="C67" s="6">
        <v>45816</v>
      </c>
      <c r="D67" s="6">
        <v>46022</v>
      </c>
      <c r="E67" s="7" t="s">
        <v>64</v>
      </c>
      <c r="F67" s="7" t="s">
        <v>91</v>
      </c>
      <c r="G67" s="7">
        <v>1</v>
      </c>
      <c r="H67" s="7"/>
    </row>
    <row r="68" spans="1:8" s="3" customFormat="1" ht="20" customHeight="1" x14ac:dyDescent="0.45">
      <c r="A68" s="4" t="s">
        <v>17</v>
      </c>
      <c r="B68" s="7">
        <v>108003</v>
      </c>
      <c r="C68" s="6">
        <v>45816</v>
      </c>
      <c r="D68" s="6">
        <v>46022</v>
      </c>
      <c r="E68" s="7" t="s">
        <v>65</v>
      </c>
      <c r="F68" s="7" t="s">
        <v>91</v>
      </c>
      <c r="G68" s="7">
        <v>1</v>
      </c>
      <c r="H68" s="7"/>
    </row>
    <row r="69" spans="1:8" s="3" customFormat="1" ht="20" customHeight="1" x14ac:dyDescent="0.45">
      <c r="A69" s="4" t="s">
        <v>17</v>
      </c>
      <c r="B69" s="7">
        <v>108003</v>
      </c>
      <c r="C69" s="6">
        <v>45816</v>
      </c>
      <c r="D69" s="6">
        <v>46022</v>
      </c>
      <c r="E69" s="7" t="s">
        <v>66</v>
      </c>
      <c r="F69" s="7" t="s">
        <v>91</v>
      </c>
      <c r="G69" s="7">
        <v>1</v>
      </c>
      <c r="H69" s="7"/>
    </row>
    <row r="70" spans="1:8" s="3" customFormat="1" ht="20" customHeight="1" x14ac:dyDescent="0.45">
      <c r="A70" s="4" t="s">
        <v>17</v>
      </c>
      <c r="B70" s="7">
        <v>108003</v>
      </c>
      <c r="C70" s="6">
        <v>45816</v>
      </c>
      <c r="D70" s="6">
        <v>46022</v>
      </c>
      <c r="E70" s="7" t="s">
        <v>67</v>
      </c>
      <c r="F70" s="7" t="s">
        <v>91</v>
      </c>
      <c r="G70" s="7">
        <v>1</v>
      </c>
      <c r="H70" s="7"/>
    </row>
    <row r="71" spans="1:8" s="3" customFormat="1" ht="20" customHeight="1" x14ac:dyDescent="0.45">
      <c r="A71" s="4" t="s">
        <v>17</v>
      </c>
      <c r="B71" s="7">
        <v>108003</v>
      </c>
      <c r="C71" s="6">
        <v>45816</v>
      </c>
      <c r="D71" s="6">
        <v>46022</v>
      </c>
      <c r="E71" s="7" t="s">
        <v>68</v>
      </c>
      <c r="F71" s="7" t="s">
        <v>91</v>
      </c>
      <c r="G71" s="7">
        <v>1</v>
      </c>
      <c r="H71" s="7"/>
    </row>
    <row r="72" spans="1:8" s="3" customFormat="1" ht="20" customHeight="1" x14ac:dyDescent="0.45">
      <c r="A72" s="4" t="s">
        <v>18</v>
      </c>
      <c r="B72" s="7">
        <v>109001</v>
      </c>
      <c r="C72" s="6">
        <v>45852</v>
      </c>
      <c r="D72" s="6">
        <v>46216</v>
      </c>
      <c r="E72" s="7" t="s">
        <v>62</v>
      </c>
      <c r="F72" s="7" t="s">
        <v>91</v>
      </c>
      <c r="G72" s="7">
        <v>4</v>
      </c>
      <c r="H72" s="7"/>
    </row>
    <row r="73" spans="1:8" s="3" customFormat="1" ht="20" customHeight="1" x14ac:dyDescent="0.45">
      <c r="A73" s="4" t="s">
        <v>18</v>
      </c>
      <c r="B73" s="7">
        <v>109001</v>
      </c>
      <c r="C73" s="6">
        <v>45852</v>
      </c>
      <c r="D73" s="6">
        <v>46216</v>
      </c>
      <c r="E73" s="7" t="s">
        <v>63</v>
      </c>
      <c r="F73" s="7" t="s">
        <v>91</v>
      </c>
      <c r="G73" s="7">
        <v>1</v>
      </c>
      <c r="H73" s="7"/>
    </row>
    <row r="74" spans="1:8" s="3" customFormat="1" ht="20" customHeight="1" x14ac:dyDescent="0.45">
      <c r="A74" s="4" t="s">
        <v>18</v>
      </c>
      <c r="B74" s="7">
        <v>109001</v>
      </c>
      <c r="C74" s="6">
        <v>45852</v>
      </c>
      <c r="D74" s="6">
        <v>46216</v>
      </c>
      <c r="E74" s="7" t="s">
        <v>64</v>
      </c>
      <c r="F74" s="7" t="s">
        <v>91</v>
      </c>
      <c r="G74" s="7">
        <v>1</v>
      </c>
      <c r="H74" s="7"/>
    </row>
    <row r="75" spans="1:8" s="3" customFormat="1" ht="20" customHeight="1" x14ac:dyDescent="0.45">
      <c r="A75" s="4" t="s">
        <v>18</v>
      </c>
      <c r="B75" s="7">
        <v>109001</v>
      </c>
      <c r="C75" s="6">
        <v>45852</v>
      </c>
      <c r="D75" s="6">
        <v>46216</v>
      </c>
      <c r="E75" s="7" t="s">
        <v>65</v>
      </c>
      <c r="F75" s="7" t="s">
        <v>91</v>
      </c>
      <c r="G75" s="7">
        <v>1</v>
      </c>
      <c r="H75" s="7"/>
    </row>
    <row r="76" spans="1:8" s="3" customFormat="1" ht="20" customHeight="1" x14ac:dyDescent="0.45">
      <c r="A76" s="4" t="s">
        <v>18</v>
      </c>
      <c r="B76" s="7">
        <v>109001</v>
      </c>
      <c r="C76" s="6">
        <v>45852</v>
      </c>
      <c r="D76" s="6">
        <v>46216</v>
      </c>
      <c r="E76" s="7" t="s">
        <v>66</v>
      </c>
      <c r="F76" s="7" t="s">
        <v>91</v>
      </c>
      <c r="G76" s="7">
        <v>1</v>
      </c>
      <c r="H76" s="7"/>
    </row>
    <row r="77" spans="1:8" s="3" customFormat="1" ht="20" customHeight="1" x14ac:dyDescent="0.45">
      <c r="A77" s="4" t="s">
        <v>18</v>
      </c>
      <c r="B77" s="7">
        <v>109001</v>
      </c>
      <c r="C77" s="6">
        <v>45852</v>
      </c>
      <c r="D77" s="6">
        <v>46216</v>
      </c>
      <c r="E77" s="7" t="s">
        <v>67</v>
      </c>
      <c r="F77" s="7" t="s">
        <v>91</v>
      </c>
      <c r="G77" s="7">
        <v>1</v>
      </c>
      <c r="H77" s="7"/>
    </row>
    <row r="78" spans="1:8" s="3" customFormat="1" ht="20" customHeight="1" x14ac:dyDescent="0.45">
      <c r="A78" s="4" t="s">
        <v>18</v>
      </c>
      <c r="B78" s="7">
        <v>109001</v>
      </c>
      <c r="C78" s="6">
        <v>45852</v>
      </c>
      <c r="D78" s="6">
        <v>46216</v>
      </c>
      <c r="E78" s="7" t="s">
        <v>68</v>
      </c>
      <c r="F78" s="7" t="s">
        <v>91</v>
      </c>
      <c r="G78" s="7">
        <v>1</v>
      </c>
      <c r="H78" s="7"/>
    </row>
    <row r="79" spans="1:8" s="3" customFormat="1" ht="20" customHeight="1" x14ac:dyDescent="0.45">
      <c r="A79" s="4" t="s">
        <v>19</v>
      </c>
      <c r="B79" s="7">
        <v>109002</v>
      </c>
      <c r="C79" s="6">
        <v>45852</v>
      </c>
      <c r="D79" s="6">
        <v>46216</v>
      </c>
      <c r="E79" s="7" t="s">
        <v>62</v>
      </c>
      <c r="F79" s="7" t="s">
        <v>91</v>
      </c>
      <c r="G79" s="7">
        <v>4</v>
      </c>
      <c r="H79" s="7"/>
    </row>
    <row r="80" spans="1:8" s="3" customFormat="1" ht="20" customHeight="1" x14ac:dyDescent="0.45">
      <c r="A80" s="4" t="s">
        <v>19</v>
      </c>
      <c r="B80" s="7">
        <v>109002</v>
      </c>
      <c r="C80" s="6">
        <v>45852</v>
      </c>
      <c r="D80" s="6">
        <v>46216</v>
      </c>
      <c r="E80" s="7" t="s">
        <v>63</v>
      </c>
      <c r="F80" s="7" t="s">
        <v>91</v>
      </c>
      <c r="G80" s="7">
        <v>1</v>
      </c>
      <c r="H80" s="7"/>
    </row>
    <row r="81" spans="1:8" s="3" customFormat="1" ht="20" customHeight="1" x14ac:dyDescent="0.45">
      <c r="A81" s="4" t="s">
        <v>19</v>
      </c>
      <c r="B81" s="7">
        <v>109002</v>
      </c>
      <c r="C81" s="6">
        <v>45852</v>
      </c>
      <c r="D81" s="6">
        <v>46216</v>
      </c>
      <c r="E81" s="7" t="s">
        <v>64</v>
      </c>
      <c r="F81" s="7" t="s">
        <v>91</v>
      </c>
      <c r="G81" s="7">
        <v>1</v>
      </c>
      <c r="H81" s="7"/>
    </row>
    <row r="82" spans="1:8" s="3" customFormat="1" ht="20" customHeight="1" x14ac:dyDescent="0.45">
      <c r="A82" s="4" t="s">
        <v>19</v>
      </c>
      <c r="B82" s="7">
        <v>109002</v>
      </c>
      <c r="C82" s="6">
        <v>45852</v>
      </c>
      <c r="D82" s="6">
        <v>46216</v>
      </c>
      <c r="E82" s="7" t="s">
        <v>65</v>
      </c>
      <c r="F82" s="7" t="s">
        <v>91</v>
      </c>
      <c r="G82" s="7">
        <v>1</v>
      </c>
      <c r="H82" s="7"/>
    </row>
    <row r="83" spans="1:8" s="3" customFormat="1" ht="20" customHeight="1" x14ac:dyDescent="0.45">
      <c r="A83" s="4" t="s">
        <v>19</v>
      </c>
      <c r="B83" s="7">
        <v>109002</v>
      </c>
      <c r="C83" s="6">
        <v>45852</v>
      </c>
      <c r="D83" s="6">
        <v>46216</v>
      </c>
      <c r="E83" s="7" t="s">
        <v>66</v>
      </c>
      <c r="F83" s="7" t="s">
        <v>91</v>
      </c>
      <c r="G83" s="7">
        <v>1</v>
      </c>
      <c r="H83" s="7"/>
    </row>
    <row r="84" spans="1:8" s="3" customFormat="1" ht="20" customHeight="1" x14ac:dyDescent="0.45">
      <c r="A84" s="4" t="s">
        <v>19</v>
      </c>
      <c r="B84" s="7">
        <v>109002</v>
      </c>
      <c r="C84" s="6">
        <v>45852</v>
      </c>
      <c r="D84" s="6">
        <v>46216</v>
      </c>
      <c r="E84" s="7" t="s">
        <v>67</v>
      </c>
      <c r="F84" s="7" t="s">
        <v>91</v>
      </c>
      <c r="G84" s="7">
        <v>1</v>
      </c>
      <c r="H84" s="7"/>
    </row>
    <row r="85" spans="1:8" s="3" customFormat="1" ht="20" customHeight="1" x14ac:dyDescent="0.45">
      <c r="A85" s="4" t="s">
        <v>19</v>
      </c>
      <c r="B85" s="7">
        <v>109002</v>
      </c>
      <c r="C85" s="6">
        <v>45852</v>
      </c>
      <c r="D85" s="6">
        <v>46216</v>
      </c>
      <c r="E85" s="7" t="s">
        <v>68</v>
      </c>
      <c r="F85" s="7" t="s">
        <v>91</v>
      </c>
      <c r="G85" s="7">
        <v>1</v>
      </c>
      <c r="H85" s="7"/>
    </row>
    <row r="86" spans="1:8" s="3" customFormat="1" ht="20" customHeight="1" x14ac:dyDescent="0.45">
      <c r="A86" s="4" t="s">
        <v>21</v>
      </c>
      <c r="B86" s="7">
        <v>111001</v>
      </c>
      <c r="C86" s="6">
        <v>45723</v>
      </c>
      <c r="D86" s="6">
        <v>46088</v>
      </c>
      <c r="E86" s="7" t="s">
        <v>62</v>
      </c>
      <c r="F86" s="7" t="s">
        <v>90</v>
      </c>
      <c r="G86" s="7">
        <v>4</v>
      </c>
      <c r="H86" s="7"/>
    </row>
    <row r="87" spans="1:8" s="3" customFormat="1" ht="20" customHeight="1" x14ac:dyDescent="0.45">
      <c r="A87" s="4" t="s">
        <v>21</v>
      </c>
      <c r="B87" s="7">
        <v>111001</v>
      </c>
      <c r="C87" s="6">
        <v>45723</v>
      </c>
      <c r="D87" s="6">
        <v>46088</v>
      </c>
      <c r="E87" s="7" t="s">
        <v>63</v>
      </c>
      <c r="F87" s="7" t="s">
        <v>90</v>
      </c>
      <c r="G87" s="7">
        <v>1</v>
      </c>
      <c r="H87" s="7"/>
    </row>
    <row r="88" spans="1:8" s="3" customFormat="1" ht="20" customHeight="1" x14ac:dyDescent="0.45">
      <c r="A88" s="4" t="s">
        <v>21</v>
      </c>
      <c r="B88" s="7">
        <v>111001</v>
      </c>
      <c r="C88" s="6">
        <v>45723</v>
      </c>
      <c r="D88" s="6">
        <v>46088</v>
      </c>
      <c r="E88" s="7" t="s">
        <v>64</v>
      </c>
      <c r="F88" s="7" t="s">
        <v>90</v>
      </c>
      <c r="G88" s="7">
        <v>1</v>
      </c>
      <c r="H88" s="7"/>
    </row>
    <row r="89" spans="1:8" s="3" customFormat="1" ht="20" customHeight="1" x14ac:dyDescent="0.45">
      <c r="A89" s="4" t="s">
        <v>21</v>
      </c>
      <c r="B89" s="7">
        <v>111001</v>
      </c>
      <c r="C89" s="6">
        <v>45723</v>
      </c>
      <c r="D89" s="6">
        <v>46088</v>
      </c>
      <c r="E89" s="7" t="s">
        <v>65</v>
      </c>
      <c r="F89" s="7" t="s">
        <v>90</v>
      </c>
      <c r="G89" s="7">
        <v>1</v>
      </c>
      <c r="H89" s="7"/>
    </row>
    <row r="90" spans="1:8" s="3" customFormat="1" ht="20" customHeight="1" x14ac:dyDescent="0.45">
      <c r="A90" s="4" t="s">
        <v>21</v>
      </c>
      <c r="B90" s="7">
        <v>111001</v>
      </c>
      <c r="C90" s="6">
        <v>45723</v>
      </c>
      <c r="D90" s="6">
        <v>46088</v>
      </c>
      <c r="E90" s="7" t="s">
        <v>66</v>
      </c>
      <c r="F90" s="7" t="s">
        <v>90</v>
      </c>
      <c r="G90" s="7">
        <v>1</v>
      </c>
      <c r="H90" s="7"/>
    </row>
    <row r="91" spans="1:8" s="3" customFormat="1" ht="20" customHeight="1" x14ac:dyDescent="0.45">
      <c r="A91" s="4" t="s">
        <v>21</v>
      </c>
      <c r="B91" s="7">
        <v>111001</v>
      </c>
      <c r="C91" s="6">
        <v>45723</v>
      </c>
      <c r="D91" s="6">
        <v>46088</v>
      </c>
      <c r="E91" s="7" t="s">
        <v>67</v>
      </c>
      <c r="F91" s="7" t="s">
        <v>90</v>
      </c>
      <c r="G91" s="7">
        <v>1</v>
      </c>
      <c r="H91" s="7"/>
    </row>
    <row r="92" spans="1:8" s="3" customFormat="1" ht="20" customHeight="1" x14ac:dyDescent="0.45">
      <c r="A92" s="4" t="s">
        <v>21</v>
      </c>
      <c r="B92" s="7">
        <v>111001</v>
      </c>
      <c r="C92" s="6">
        <v>45723</v>
      </c>
      <c r="D92" s="6">
        <v>46088</v>
      </c>
      <c r="E92" s="7" t="s">
        <v>68</v>
      </c>
      <c r="F92" s="7" t="s">
        <v>90</v>
      </c>
      <c r="G92" s="7">
        <v>1</v>
      </c>
      <c r="H92" s="7"/>
    </row>
    <row r="93" spans="1:8" s="3" customFormat="1" ht="20" customHeight="1" x14ac:dyDescent="0.45">
      <c r="A93" s="4" t="s">
        <v>24</v>
      </c>
      <c r="B93" s="7">
        <v>202001</v>
      </c>
      <c r="C93" s="6">
        <v>45763</v>
      </c>
      <c r="D93" s="6">
        <v>46022</v>
      </c>
      <c r="E93" s="7" t="s">
        <v>62</v>
      </c>
      <c r="F93" s="7" t="s">
        <v>92</v>
      </c>
      <c r="G93" s="7">
        <v>4</v>
      </c>
      <c r="H93" s="7"/>
    </row>
    <row r="94" spans="1:8" s="3" customFormat="1" ht="20" customHeight="1" x14ac:dyDescent="0.45">
      <c r="A94" s="4" t="s">
        <v>24</v>
      </c>
      <c r="B94" s="7">
        <v>202001</v>
      </c>
      <c r="C94" s="6">
        <v>45763</v>
      </c>
      <c r="D94" s="6">
        <v>46022</v>
      </c>
      <c r="E94" s="7" t="s">
        <v>63</v>
      </c>
      <c r="F94" s="7" t="s">
        <v>92</v>
      </c>
      <c r="G94" s="7">
        <v>1</v>
      </c>
      <c r="H94" s="7"/>
    </row>
    <row r="95" spans="1:8" s="3" customFormat="1" ht="20" customHeight="1" x14ac:dyDescent="0.45">
      <c r="A95" s="4" t="s">
        <v>24</v>
      </c>
      <c r="B95" s="7">
        <v>202001</v>
      </c>
      <c r="C95" s="6">
        <v>45763</v>
      </c>
      <c r="D95" s="6">
        <v>46022</v>
      </c>
      <c r="E95" s="7" t="s">
        <v>64</v>
      </c>
      <c r="F95" s="7" t="s">
        <v>92</v>
      </c>
      <c r="G95" s="7">
        <v>1</v>
      </c>
      <c r="H95" s="7"/>
    </row>
    <row r="96" spans="1:8" s="3" customFormat="1" ht="20" customHeight="1" x14ac:dyDescent="0.45">
      <c r="A96" s="4" t="s">
        <v>24</v>
      </c>
      <c r="B96" s="7">
        <v>202001</v>
      </c>
      <c r="C96" s="6">
        <v>45763</v>
      </c>
      <c r="D96" s="6">
        <v>46022</v>
      </c>
      <c r="E96" s="7" t="s">
        <v>65</v>
      </c>
      <c r="F96" s="7" t="s">
        <v>92</v>
      </c>
      <c r="G96" s="7">
        <v>1</v>
      </c>
      <c r="H96" s="7"/>
    </row>
    <row r="97" spans="1:8" s="3" customFormat="1" ht="20" customHeight="1" x14ac:dyDescent="0.45">
      <c r="A97" s="4" t="s">
        <v>24</v>
      </c>
      <c r="B97" s="7">
        <v>202001</v>
      </c>
      <c r="C97" s="6">
        <v>45763</v>
      </c>
      <c r="D97" s="6">
        <v>46022</v>
      </c>
      <c r="E97" s="7" t="s">
        <v>66</v>
      </c>
      <c r="F97" s="7" t="s">
        <v>92</v>
      </c>
      <c r="G97" s="7">
        <v>1</v>
      </c>
      <c r="H97" s="7"/>
    </row>
    <row r="98" spans="1:8" s="3" customFormat="1" ht="20" customHeight="1" x14ac:dyDescent="0.45">
      <c r="A98" s="4" t="s">
        <v>24</v>
      </c>
      <c r="B98" s="7">
        <v>202001</v>
      </c>
      <c r="C98" s="6">
        <v>45763</v>
      </c>
      <c r="D98" s="6">
        <v>46022</v>
      </c>
      <c r="E98" s="7" t="s">
        <v>67</v>
      </c>
      <c r="F98" s="7" t="s">
        <v>92</v>
      </c>
      <c r="G98" s="7">
        <v>1</v>
      </c>
      <c r="H98" s="7"/>
    </row>
    <row r="99" spans="1:8" s="3" customFormat="1" ht="20" customHeight="1" x14ac:dyDescent="0.45">
      <c r="A99" s="4" t="s">
        <v>24</v>
      </c>
      <c r="B99" s="7">
        <v>202001</v>
      </c>
      <c r="C99" s="6">
        <v>45763</v>
      </c>
      <c r="D99" s="6">
        <v>46022</v>
      </c>
      <c r="E99" s="7" t="s">
        <v>68</v>
      </c>
      <c r="F99" s="7" t="s">
        <v>92</v>
      </c>
      <c r="G99" s="7">
        <v>1</v>
      </c>
      <c r="H99" s="7"/>
    </row>
    <row r="100" spans="1:8" s="3" customFormat="1" ht="20" customHeight="1" x14ac:dyDescent="0.45">
      <c r="A100" s="4" t="s">
        <v>26</v>
      </c>
      <c r="B100" s="7">
        <v>203002</v>
      </c>
      <c r="C100" s="6">
        <v>45763</v>
      </c>
      <c r="D100" s="6">
        <v>46022</v>
      </c>
      <c r="E100" s="7" t="s">
        <v>62</v>
      </c>
      <c r="F100" s="7" t="s">
        <v>90</v>
      </c>
      <c r="G100" s="7">
        <v>4</v>
      </c>
      <c r="H100" s="7"/>
    </row>
    <row r="101" spans="1:8" ht="20" customHeight="1" x14ac:dyDescent="0.3">
      <c r="A101" s="4" t="s">
        <v>26</v>
      </c>
      <c r="B101" s="7">
        <v>203002</v>
      </c>
      <c r="C101" s="6">
        <v>45763</v>
      </c>
      <c r="D101" s="6">
        <v>46022</v>
      </c>
      <c r="E101" s="7" t="s">
        <v>63</v>
      </c>
      <c r="F101" s="7" t="s">
        <v>90</v>
      </c>
      <c r="G101" s="7">
        <v>1</v>
      </c>
      <c r="H101" s="7"/>
    </row>
    <row r="102" spans="1:8" ht="20" customHeight="1" x14ac:dyDescent="0.3">
      <c r="A102" s="4" t="s">
        <v>26</v>
      </c>
      <c r="B102" s="7">
        <v>203002</v>
      </c>
      <c r="C102" s="6">
        <v>45763</v>
      </c>
      <c r="D102" s="6">
        <v>46022</v>
      </c>
      <c r="E102" s="7" t="s">
        <v>64</v>
      </c>
      <c r="F102" s="7" t="s">
        <v>90</v>
      </c>
      <c r="G102" s="7">
        <v>1</v>
      </c>
      <c r="H102" s="7"/>
    </row>
    <row r="103" spans="1:8" ht="20" customHeight="1" x14ac:dyDescent="0.3">
      <c r="A103" s="4" t="s">
        <v>26</v>
      </c>
      <c r="B103" s="7">
        <v>203002</v>
      </c>
      <c r="C103" s="6">
        <v>45763</v>
      </c>
      <c r="D103" s="6">
        <v>46022</v>
      </c>
      <c r="E103" s="7" t="s">
        <v>65</v>
      </c>
      <c r="F103" s="7" t="s">
        <v>90</v>
      </c>
      <c r="G103" s="7">
        <v>1</v>
      </c>
      <c r="H103" s="7"/>
    </row>
    <row r="104" spans="1:8" ht="20" customHeight="1" x14ac:dyDescent="0.3">
      <c r="A104" s="4" t="s">
        <v>26</v>
      </c>
      <c r="B104" s="7">
        <v>203002</v>
      </c>
      <c r="C104" s="6">
        <v>45763</v>
      </c>
      <c r="D104" s="6">
        <v>46022</v>
      </c>
      <c r="E104" s="7" t="s">
        <v>66</v>
      </c>
      <c r="F104" s="7" t="s">
        <v>90</v>
      </c>
      <c r="G104" s="7">
        <v>1</v>
      </c>
      <c r="H104" s="7"/>
    </row>
    <row r="105" spans="1:8" ht="20" customHeight="1" x14ac:dyDescent="0.3">
      <c r="A105" s="4" t="s">
        <v>26</v>
      </c>
      <c r="B105" s="7">
        <v>203002</v>
      </c>
      <c r="C105" s="6">
        <v>45763</v>
      </c>
      <c r="D105" s="6">
        <v>46022</v>
      </c>
      <c r="E105" s="7" t="s">
        <v>67</v>
      </c>
      <c r="F105" s="7" t="s">
        <v>90</v>
      </c>
      <c r="G105" s="7">
        <v>1</v>
      </c>
      <c r="H105" s="7"/>
    </row>
    <row r="106" spans="1:8" ht="20" customHeight="1" x14ac:dyDescent="0.3">
      <c r="A106" s="4" t="s">
        <v>26</v>
      </c>
      <c r="B106" s="7">
        <v>203002</v>
      </c>
      <c r="C106" s="6">
        <v>45763</v>
      </c>
      <c r="D106" s="6">
        <v>46022</v>
      </c>
      <c r="E106" s="7" t="s">
        <v>68</v>
      </c>
      <c r="F106" s="7" t="s">
        <v>90</v>
      </c>
      <c r="G106" s="7">
        <v>1</v>
      </c>
      <c r="H106" s="7"/>
    </row>
    <row r="107" spans="1:8" ht="20" customHeight="1" x14ac:dyDescent="0.3">
      <c r="A107" s="4" t="s">
        <v>27</v>
      </c>
      <c r="B107" s="7">
        <v>204001</v>
      </c>
      <c r="C107" s="6">
        <v>45866</v>
      </c>
      <c r="D107" s="6">
        <v>46231</v>
      </c>
      <c r="E107" s="7" t="s">
        <v>62</v>
      </c>
      <c r="F107" s="7" t="s">
        <v>90</v>
      </c>
      <c r="G107" s="7">
        <v>4</v>
      </c>
      <c r="H107" s="7"/>
    </row>
    <row r="108" spans="1:8" ht="20" customHeight="1" x14ac:dyDescent="0.3">
      <c r="A108" s="4" t="s">
        <v>27</v>
      </c>
      <c r="B108" s="7">
        <v>204001</v>
      </c>
      <c r="C108" s="6">
        <v>45866</v>
      </c>
      <c r="D108" s="6">
        <v>46231</v>
      </c>
      <c r="E108" s="7" t="s">
        <v>63</v>
      </c>
      <c r="F108" s="7" t="s">
        <v>90</v>
      </c>
      <c r="G108" s="7">
        <v>1</v>
      </c>
      <c r="H108" s="7"/>
    </row>
    <row r="109" spans="1:8" ht="20" customHeight="1" x14ac:dyDescent="0.3">
      <c r="A109" s="4" t="s">
        <v>27</v>
      </c>
      <c r="B109" s="7">
        <v>204001</v>
      </c>
      <c r="C109" s="6">
        <v>45866</v>
      </c>
      <c r="D109" s="6">
        <v>46231</v>
      </c>
      <c r="E109" s="7" t="s">
        <v>64</v>
      </c>
      <c r="F109" s="7" t="s">
        <v>90</v>
      </c>
      <c r="G109" s="7">
        <v>1</v>
      </c>
      <c r="H109" s="7"/>
    </row>
    <row r="110" spans="1:8" ht="20" customHeight="1" x14ac:dyDescent="0.3">
      <c r="A110" s="4" t="s">
        <v>27</v>
      </c>
      <c r="B110" s="7">
        <v>204001</v>
      </c>
      <c r="C110" s="6">
        <v>45866</v>
      </c>
      <c r="D110" s="6">
        <v>46231</v>
      </c>
      <c r="E110" s="7" t="s">
        <v>65</v>
      </c>
      <c r="F110" s="7" t="s">
        <v>90</v>
      </c>
      <c r="G110" s="7">
        <v>1</v>
      </c>
      <c r="H110" s="7"/>
    </row>
    <row r="111" spans="1:8" ht="20" customHeight="1" x14ac:dyDescent="0.3">
      <c r="A111" s="4" t="s">
        <v>27</v>
      </c>
      <c r="B111" s="7">
        <v>204001</v>
      </c>
      <c r="C111" s="6">
        <v>45866</v>
      </c>
      <c r="D111" s="6">
        <v>46231</v>
      </c>
      <c r="E111" s="7" t="s">
        <v>66</v>
      </c>
      <c r="F111" s="7" t="s">
        <v>90</v>
      </c>
      <c r="G111" s="7">
        <v>1</v>
      </c>
      <c r="H111" s="7"/>
    </row>
    <row r="112" spans="1:8" ht="20" customHeight="1" x14ac:dyDescent="0.3">
      <c r="A112" s="4" t="s">
        <v>27</v>
      </c>
      <c r="B112" s="7">
        <v>204001</v>
      </c>
      <c r="C112" s="6">
        <v>45866</v>
      </c>
      <c r="D112" s="6">
        <v>46231</v>
      </c>
      <c r="E112" s="7" t="s">
        <v>67</v>
      </c>
      <c r="F112" s="7" t="s">
        <v>90</v>
      </c>
      <c r="G112" s="7">
        <v>1</v>
      </c>
      <c r="H112" s="7"/>
    </row>
    <row r="113" spans="1:8" ht="20" customHeight="1" x14ac:dyDescent="0.3">
      <c r="A113" s="4" t="s">
        <v>27</v>
      </c>
      <c r="B113" s="7">
        <v>204001</v>
      </c>
      <c r="C113" s="6">
        <v>45866</v>
      </c>
      <c r="D113" s="6">
        <v>46231</v>
      </c>
      <c r="E113" s="7" t="s">
        <v>68</v>
      </c>
      <c r="F113" s="7" t="s">
        <v>90</v>
      </c>
      <c r="G113" s="7">
        <v>1</v>
      </c>
      <c r="H113" s="7"/>
    </row>
    <row r="114" spans="1:8" ht="20" customHeight="1" x14ac:dyDescent="0.3">
      <c r="A114" s="4" t="s">
        <v>28</v>
      </c>
      <c r="B114" s="7">
        <v>205001</v>
      </c>
      <c r="C114" s="6">
        <v>45839</v>
      </c>
      <c r="D114" s="6">
        <v>46203</v>
      </c>
      <c r="E114" s="7" t="s">
        <v>62</v>
      </c>
      <c r="F114" s="7" t="s">
        <v>90</v>
      </c>
      <c r="G114" s="7">
        <v>4</v>
      </c>
      <c r="H114" s="7"/>
    </row>
    <row r="115" spans="1:8" ht="20" customHeight="1" x14ac:dyDescent="0.3">
      <c r="A115" s="4" t="s">
        <v>28</v>
      </c>
      <c r="B115" s="7">
        <v>205001</v>
      </c>
      <c r="C115" s="6">
        <v>45839</v>
      </c>
      <c r="D115" s="6">
        <v>46203</v>
      </c>
      <c r="E115" s="7" t="s">
        <v>63</v>
      </c>
      <c r="F115" s="7" t="s">
        <v>90</v>
      </c>
      <c r="G115" s="7">
        <v>1</v>
      </c>
      <c r="H115" s="7"/>
    </row>
    <row r="116" spans="1:8" ht="20" customHeight="1" x14ac:dyDescent="0.3">
      <c r="A116" s="4" t="s">
        <v>28</v>
      </c>
      <c r="B116" s="7">
        <v>205001</v>
      </c>
      <c r="C116" s="6">
        <v>45839</v>
      </c>
      <c r="D116" s="6">
        <v>46203</v>
      </c>
      <c r="E116" s="7" t="s">
        <v>64</v>
      </c>
      <c r="F116" s="7" t="s">
        <v>90</v>
      </c>
      <c r="G116" s="7">
        <v>1</v>
      </c>
      <c r="H116" s="7"/>
    </row>
    <row r="117" spans="1:8" ht="20" customHeight="1" x14ac:dyDescent="0.3">
      <c r="A117" s="4" t="s">
        <v>28</v>
      </c>
      <c r="B117" s="7">
        <v>205001</v>
      </c>
      <c r="C117" s="6">
        <v>45839</v>
      </c>
      <c r="D117" s="6">
        <v>46203</v>
      </c>
      <c r="E117" s="7" t="s">
        <v>65</v>
      </c>
      <c r="F117" s="7" t="s">
        <v>90</v>
      </c>
      <c r="G117" s="7">
        <v>1</v>
      </c>
      <c r="H117" s="7"/>
    </row>
    <row r="118" spans="1:8" ht="20" customHeight="1" x14ac:dyDescent="0.3">
      <c r="A118" s="4" t="s">
        <v>28</v>
      </c>
      <c r="B118" s="7">
        <v>205001</v>
      </c>
      <c r="C118" s="6">
        <v>45839</v>
      </c>
      <c r="D118" s="6">
        <v>46203</v>
      </c>
      <c r="E118" s="7" t="s">
        <v>66</v>
      </c>
      <c r="F118" s="7" t="s">
        <v>90</v>
      </c>
      <c r="G118" s="7">
        <v>1</v>
      </c>
      <c r="H118" s="7"/>
    </row>
    <row r="119" spans="1:8" ht="20" customHeight="1" x14ac:dyDescent="0.3">
      <c r="A119" s="4" t="s">
        <v>28</v>
      </c>
      <c r="B119" s="7">
        <v>205001</v>
      </c>
      <c r="C119" s="6">
        <v>45839</v>
      </c>
      <c r="D119" s="6">
        <v>46203</v>
      </c>
      <c r="E119" s="7" t="s">
        <v>67</v>
      </c>
      <c r="F119" s="7" t="s">
        <v>90</v>
      </c>
      <c r="G119" s="7">
        <v>1</v>
      </c>
      <c r="H119" s="7"/>
    </row>
    <row r="120" spans="1:8" ht="20" customHeight="1" x14ac:dyDescent="0.3">
      <c r="A120" s="4" t="s">
        <v>28</v>
      </c>
      <c r="B120" s="7">
        <v>205001</v>
      </c>
      <c r="C120" s="6">
        <v>45839</v>
      </c>
      <c r="D120" s="6">
        <v>46203</v>
      </c>
      <c r="E120" s="7" t="s">
        <v>68</v>
      </c>
      <c r="F120" s="7" t="s">
        <v>90</v>
      </c>
      <c r="G120" s="7">
        <v>1</v>
      </c>
      <c r="H120" s="7"/>
    </row>
    <row r="121" spans="1:8" ht="20" customHeight="1" x14ac:dyDescent="0.3">
      <c r="A121" s="4" t="s">
        <v>32</v>
      </c>
      <c r="B121" s="7">
        <v>206001</v>
      </c>
      <c r="C121" s="6">
        <v>45883</v>
      </c>
      <c r="D121" s="6">
        <v>46247</v>
      </c>
      <c r="E121" s="7" t="s">
        <v>62</v>
      </c>
      <c r="F121" s="7" t="s">
        <v>90</v>
      </c>
      <c r="G121" s="7">
        <v>4</v>
      </c>
      <c r="H121" s="7"/>
    </row>
    <row r="122" spans="1:8" ht="20" customHeight="1" x14ac:dyDescent="0.3">
      <c r="A122" s="4" t="s">
        <v>32</v>
      </c>
      <c r="B122" s="7">
        <v>206001</v>
      </c>
      <c r="C122" s="6">
        <v>45883</v>
      </c>
      <c r="D122" s="6">
        <v>46247</v>
      </c>
      <c r="E122" s="7" t="s">
        <v>63</v>
      </c>
      <c r="F122" s="7" t="s">
        <v>90</v>
      </c>
      <c r="G122" s="7">
        <v>1</v>
      </c>
      <c r="H122" s="7"/>
    </row>
    <row r="123" spans="1:8" ht="20" customHeight="1" x14ac:dyDescent="0.3">
      <c r="A123" s="4" t="s">
        <v>32</v>
      </c>
      <c r="B123" s="7">
        <v>206001</v>
      </c>
      <c r="C123" s="6">
        <v>45883</v>
      </c>
      <c r="D123" s="6">
        <v>46247</v>
      </c>
      <c r="E123" s="7" t="s">
        <v>64</v>
      </c>
      <c r="F123" s="7" t="s">
        <v>90</v>
      </c>
      <c r="G123" s="7">
        <v>1</v>
      </c>
      <c r="H123" s="7"/>
    </row>
    <row r="124" spans="1:8" ht="20" customHeight="1" x14ac:dyDescent="0.3">
      <c r="A124" s="4" t="s">
        <v>32</v>
      </c>
      <c r="B124" s="7">
        <v>206001</v>
      </c>
      <c r="C124" s="6">
        <v>45883</v>
      </c>
      <c r="D124" s="6">
        <v>46247</v>
      </c>
      <c r="E124" s="7" t="s">
        <v>65</v>
      </c>
      <c r="F124" s="7" t="s">
        <v>90</v>
      </c>
      <c r="G124" s="7">
        <v>1</v>
      </c>
      <c r="H124" s="7"/>
    </row>
    <row r="125" spans="1:8" ht="20" customHeight="1" x14ac:dyDescent="0.3">
      <c r="A125" s="4" t="s">
        <v>32</v>
      </c>
      <c r="B125" s="7">
        <v>206001</v>
      </c>
      <c r="C125" s="6">
        <v>45883</v>
      </c>
      <c r="D125" s="6">
        <v>46247</v>
      </c>
      <c r="E125" s="7" t="s">
        <v>66</v>
      </c>
      <c r="F125" s="7" t="s">
        <v>90</v>
      </c>
      <c r="G125" s="7">
        <v>1</v>
      </c>
      <c r="H125" s="7"/>
    </row>
    <row r="126" spans="1:8" ht="20" customHeight="1" x14ac:dyDescent="0.3">
      <c r="A126" s="4" t="s">
        <v>32</v>
      </c>
      <c r="B126" s="7">
        <v>206001</v>
      </c>
      <c r="C126" s="6">
        <v>45883</v>
      </c>
      <c r="D126" s="6">
        <v>46247</v>
      </c>
      <c r="E126" s="7" t="s">
        <v>67</v>
      </c>
      <c r="F126" s="7" t="s">
        <v>90</v>
      </c>
      <c r="G126" s="7">
        <v>1</v>
      </c>
      <c r="H126" s="7"/>
    </row>
    <row r="127" spans="1:8" ht="20" customHeight="1" x14ac:dyDescent="0.3">
      <c r="A127" s="4" t="s">
        <v>32</v>
      </c>
      <c r="B127" s="7">
        <v>206001</v>
      </c>
      <c r="C127" s="6">
        <v>45883</v>
      </c>
      <c r="D127" s="6">
        <v>46247</v>
      </c>
      <c r="E127" s="7" t="s">
        <v>68</v>
      </c>
      <c r="F127" s="7" t="s">
        <v>90</v>
      </c>
      <c r="G127" s="7">
        <v>1</v>
      </c>
      <c r="H127" s="7"/>
    </row>
    <row r="128" spans="1:8" ht="20" customHeight="1" x14ac:dyDescent="0.3">
      <c r="A128" s="4" t="s">
        <v>29</v>
      </c>
      <c r="B128" s="7">
        <v>301001</v>
      </c>
      <c r="C128" s="6">
        <v>45764</v>
      </c>
      <c r="D128" s="6">
        <v>46022</v>
      </c>
      <c r="E128" s="7" t="s">
        <v>62</v>
      </c>
      <c r="F128" s="7" t="s">
        <v>93</v>
      </c>
      <c r="G128" s="7">
        <v>4</v>
      </c>
      <c r="H128" s="7"/>
    </row>
    <row r="129" spans="1:8" ht="20" customHeight="1" x14ac:dyDescent="0.3">
      <c r="A129" s="4" t="s">
        <v>29</v>
      </c>
      <c r="B129" s="7">
        <v>301001</v>
      </c>
      <c r="C129" s="6">
        <v>45764</v>
      </c>
      <c r="D129" s="6">
        <v>46022</v>
      </c>
      <c r="E129" s="7" t="s">
        <v>63</v>
      </c>
      <c r="F129" s="7" t="s">
        <v>93</v>
      </c>
      <c r="G129" s="7">
        <v>1</v>
      </c>
      <c r="H129" s="7"/>
    </row>
    <row r="130" spans="1:8" ht="20" customHeight="1" x14ac:dyDescent="0.3">
      <c r="A130" s="4" t="s">
        <v>29</v>
      </c>
      <c r="B130" s="7">
        <v>301001</v>
      </c>
      <c r="C130" s="6">
        <v>45764</v>
      </c>
      <c r="D130" s="6">
        <v>46022</v>
      </c>
      <c r="E130" s="7" t="s">
        <v>64</v>
      </c>
      <c r="F130" s="7" t="s">
        <v>93</v>
      </c>
      <c r="G130" s="7">
        <v>1</v>
      </c>
      <c r="H130" s="7"/>
    </row>
    <row r="131" spans="1:8" ht="20" customHeight="1" x14ac:dyDescent="0.3">
      <c r="A131" s="4" t="s">
        <v>29</v>
      </c>
      <c r="B131" s="7">
        <v>301001</v>
      </c>
      <c r="C131" s="6">
        <v>45764</v>
      </c>
      <c r="D131" s="6">
        <v>46022</v>
      </c>
      <c r="E131" s="7" t="s">
        <v>65</v>
      </c>
      <c r="F131" s="7" t="s">
        <v>93</v>
      </c>
      <c r="G131" s="7">
        <v>1</v>
      </c>
      <c r="H131" s="7"/>
    </row>
    <row r="132" spans="1:8" ht="20" customHeight="1" x14ac:dyDescent="0.3">
      <c r="A132" s="4" t="s">
        <v>29</v>
      </c>
      <c r="B132" s="7">
        <v>301001</v>
      </c>
      <c r="C132" s="6">
        <v>45764</v>
      </c>
      <c r="D132" s="6">
        <v>46022</v>
      </c>
      <c r="E132" s="7" t="s">
        <v>66</v>
      </c>
      <c r="F132" s="7" t="s">
        <v>93</v>
      </c>
      <c r="G132" s="7">
        <v>1</v>
      </c>
      <c r="H132" s="7"/>
    </row>
    <row r="133" spans="1:8" ht="20" customHeight="1" x14ac:dyDescent="0.3">
      <c r="A133" s="4" t="s">
        <v>29</v>
      </c>
      <c r="B133" s="7">
        <v>301001</v>
      </c>
      <c r="C133" s="6">
        <v>45764</v>
      </c>
      <c r="D133" s="6">
        <v>46022</v>
      </c>
      <c r="E133" s="7" t="s">
        <v>67</v>
      </c>
      <c r="F133" s="7" t="s">
        <v>93</v>
      </c>
      <c r="G133" s="7">
        <v>1</v>
      </c>
      <c r="H133" s="7"/>
    </row>
    <row r="134" spans="1:8" ht="20" customHeight="1" x14ac:dyDescent="0.3">
      <c r="A134" s="4" t="s">
        <v>29</v>
      </c>
      <c r="B134" s="7">
        <v>301001</v>
      </c>
      <c r="C134" s="6">
        <v>45764</v>
      </c>
      <c r="D134" s="6">
        <v>46022</v>
      </c>
      <c r="E134" s="7" t="s">
        <v>68</v>
      </c>
      <c r="F134" s="7" t="s">
        <v>93</v>
      </c>
      <c r="G134" s="7">
        <v>1</v>
      </c>
      <c r="H134" s="7"/>
    </row>
    <row r="135" spans="1:8" ht="20" customHeight="1" x14ac:dyDescent="0.3">
      <c r="A135" s="4" t="s">
        <v>30</v>
      </c>
      <c r="B135" s="7">
        <v>301002</v>
      </c>
      <c r="C135" s="6">
        <v>45764</v>
      </c>
      <c r="D135" s="6">
        <v>46022</v>
      </c>
      <c r="E135" s="7" t="s">
        <v>62</v>
      </c>
      <c r="F135" s="7" t="s">
        <v>93</v>
      </c>
      <c r="G135" s="7">
        <v>4</v>
      </c>
      <c r="H135" s="7"/>
    </row>
    <row r="136" spans="1:8" ht="20" customHeight="1" x14ac:dyDescent="0.3">
      <c r="A136" s="4" t="s">
        <v>30</v>
      </c>
      <c r="B136" s="7">
        <v>301002</v>
      </c>
      <c r="C136" s="6">
        <v>45764</v>
      </c>
      <c r="D136" s="6">
        <v>46022</v>
      </c>
      <c r="E136" s="7" t="s">
        <v>63</v>
      </c>
      <c r="F136" s="7" t="s">
        <v>93</v>
      </c>
      <c r="G136" s="7">
        <v>1</v>
      </c>
      <c r="H136" s="7"/>
    </row>
    <row r="137" spans="1:8" ht="20" customHeight="1" x14ac:dyDescent="0.3">
      <c r="A137" s="4" t="s">
        <v>30</v>
      </c>
      <c r="B137" s="7">
        <v>301002</v>
      </c>
      <c r="C137" s="6">
        <v>45764</v>
      </c>
      <c r="D137" s="6">
        <v>46022</v>
      </c>
      <c r="E137" s="7" t="s">
        <v>64</v>
      </c>
      <c r="F137" s="7" t="s">
        <v>93</v>
      </c>
      <c r="G137" s="7">
        <v>1</v>
      </c>
      <c r="H137" s="7"/>
    </row>
    <row r="138" spans="1:8" ht="20" customHeight="1" x14ac:dyDescent="0.3">
      <c r="A138" s="4" t="s">
        <v>30</v>
      </c>
      <c r="B138" s="7">
        <v>301002</v>
      </c>
      <c r="C138" s="6">
        <v>45764</v>
      </c>
      <c r="D138" s="6">
        <v>46022</v>
      </c>
      <c r="E138" s="7" t="s">
        <v>65</v>
      </c>
      <c r="F138" s="7" t="s">
        <v>93</v>
      </c>
      <c r="G138" s="7">
        <v>1</v>
      </c>
      <c r="H138" s="7"/>
    </row>
    <row r="139" spans="1:8" ht="20" customHeight="1" x14ac:dyDescent="0.3">
      <c r="A139" s="4" t="s">
        <v>30</v>
      </c>
      <c r="B139" s="7">
        <v>301002</v>
      </c>
      <c r="C139" s="6">
        <v>45764</v>
      </c>
      <c r="D139" s="6">
        <v>46022</v>
      </c>
      <c r="E139" s="7" t="s">
        <v>66</v>
      </c>
      <c r="F139" s="7" t="s">
        <v>93</v>
      </c>
      <c r="G139" s="7">
        <v>1</v>
      </c>
      <c r="H139" s="7"/>
    </row>
    <row r="140" spans="1:8" ht="20" customHeight="1" x14ac:dyDescent="0.3">
      <c r="A140" s="4" t="s">
        <v>30</v>
      </c>
      <c r="B140" s="7">
        <v>301002</v>
      </c>
      <c r="C140" s="6">
        <v>45764</v>
      </c>
      <c r="D140" s="6">
        <v>46022</v>
      </c>
      <c r="E140" s="7" t="s">
        <v>67</v>
      </c>
      <c r="F140" s="7" t="s">
        <v>93</v>
      </c>
      <c r="G140" s="7">
        <v>1</v>
      </c>
      <c r="H140" s="7"/>
    </row>
    <row r="141" spans="1:8" ht="20" customHeight="1" x14ac:dyDescent="0.3">
      <c r="A141" s="4" t="s">
        <v>30</v>
      </c>
      <c r="B141" s="7">
        <v>301002</v>
      </c>
      <c r="C141" s="6">
        <v>45764</v>
      </c>
      <c r="D141" s="6">
        <v>46022</v>
      </c>
      <c r="E141" s="7" t="s">
        <v>68</v>
      </c>
      <c r="F141" s="7" t="s">
        <v>93</v>
      </c>
      <c r="G141" s="7">
        <v>1</v>
      </c>
      <c r="H141" s="7"/>
    </row>
    <row r="142" spans="1:8" ht="20" customHeight="1" x14ac:dyDescent="0.3">
      <c r="A142" s="4" t="s">
        <v>31</v>
      </c>
      <c r="B142" s="7">
        <v>301003</v>
      </c>
      <c r="C142" s="6">
        <v>45764</v>
      </c>
      <c r="D142" s="6">
        <v>46022</v>
      </c>
      <c r="E142" s="7" t="s">
        <v>62</v>
      </c>
      <c r="F142" s="7" t="s">
        <v>93</v>
      </c>
      <c r="G142" s="7">
        <v>4</v>
      </c>
      <c r="H142" s="7"/>
    </row>
    <row r="143" spans="1:8" ht="20" customHeight="1" x14ac:dyDescent="0.3">
      <c r="A143" s="4" t="s">
        <v>31</v>
      </c>
      <c r="B143" s="7">
        <v>301003</v>
      </c>
      <c r="C143" s="6">
        <v>45764</v>
      </c>
      <c r="D143" s="6">
        <v>46022</v>
      </c>
      <c r="E143" s="7" t="s">
        <v>63</v>
      </c>
      <c r="F143" s="7" t="s">
        <v>93</v>
      </c>
      <c r="G143" s="7">
        <v>1</v>
      </c>
      <c r="H143" s="7"/>
    </row>
    <row r="144" spans="1:8" ht="20" customHeight="1" x14ac:dyDescent="0.3">
      <c r="A144" s="4" t="s">
        <v>31</v>
      </c>
      <c r="B144" s="7">
        <v>301003</v>
      </c>
      <c r="C144" s="6">
        <v>45764</v>
      </c>
      <c r="D144" s="6">
        <v>46022</v>
      </c>
      <c r="E144" s="7" t="s">
        <v>64</v>
      </c>
      <c r="F144" s="7" t="s">
        <v>93</v>
      </c>
      <c r="G144" s="7">
        <v>1</v>
      </c>
      <c r="H144" s="7"/>
    </row>
    <row r="145" spans="1:8" ht="20" customHeight="1" x14ac:dyDescent="0.3">
      <c r="A145" s="4" t="s">
        <v>31</v>
      </c>
      <c r="B145" s="7">
        <v>301003</v>
      </c>
      <c r="C145" s="6">
        <v>45764</v>
      </c>
      <c r="D145" s="6">
        <v>46022</v>
      </c>
      <c r="E145" s="7" t="s">
        <v>65</v>
      </c>
      <c r="F145" s="7" t="s">
        <v>93</v>
      </c>
      <c r="G145" s="7">
        <v>1</v>
      </c>
      <c r="H145" s="7"/>
    </row>
    <row r="146" spans="1:8" ht="20" customHeight="1" x14ac:dyDescent="0.3">
      <c r="A146" s="4" t="s">
        <v>31</v>
      </c>
      <c r="B146" s="7">
        <v>301003</v>
      </c>
      <c r="C146" s="6">
        <v>45764</v>
      </c>
      <c r="D146" s="6">
        <v>46022</v>
      </c>
      <c r="E146" s="7" t="s">
        <v>66</v>
      </c>
      <c r="F146" s="7" t="s">
        <v>93</v>
      </c>
      <c r="G146" s="7">
        <v>1</v>
      </c>
      <c r="H146" s="7"/>
    </row>
    <row r="147" spans="1:8" ht="20" customHeight="1" x14ac:dyDescent="0.3">
      <c r="A147" s="4" t="s">
        <v>31</v>
      </c>
      <c r="B147" s="7">
        <v>301003</v>
      </c>
      <c r="C147" s="6">
        <v>45764</v>
      </c>
      <c r="D147" s="6">
        <v>46022</v>
      </c>
      <c r="E147" s="7" t="s">
        <v>67</v>
      </c>
      <c r="F147" s="7" t="s">
        <v>93</v>
      </c>
      <c r="G147" s="7">
        <v>1</v>
      </c>
      <c r="H147" s="7"/>
    </row>
    <row r="148" spans="1:8" ht="20" customHeight="1" x14ac:dyDescent="0.3">
      <c r="A148" s="4" t="s">
        <v>31</v>
      </c>
      <c r="B148" s="7">
        <v>301003</v>
      </c>
      <c r="C148" s="6">
        <v>45764</v>
      </c>
      <c r="D148" s="6">
        <v>46022</v>
      </c>
      <c r="E148" s="7" t="s">
        <v>68</v>
      </c>
      <c r="F148" s="7" t="s">
        <v>93</v>
      </c>
      <c r="G148" s="7">
        <v>1</v>
      </c>
      <c r="H148" s="7"/>
    </row>
  </sheetData>
  <autoFilter ref="A1:H148" xr:uid="{00000000-0001-0000-0100-000000000000}">
    <sortState xmlns:xlrd2="http://schemas.microsoft.com/office/spreadsheetml/2017/richdata2" ref="A2:H148">
      <sortCondition ref="B1:B148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7"/>
  <sheetViews>
    <sheetView zoomScale="94" zoomScaleNormal="100" workbookViewId="0">
      <selection activeCell="H26" sqref="H26"/>
    </sheetView>
  </sheetViews>
  <sheetFormatPr defaultColWidth="8.6640625" defaultRowHeight="14" x14ac:dyDescent="0.45"/>
  <cols>
    <col min="1" max="1" width="29.58203125" style="13" bestFit="1" customWidth="1"/>
    <col min="2" max="2" width="20.58203125" style="10" customWidth="1"/>
    <col min="3" max="4" width="20.58203125" style="3" customWidth="1"/>
    <col min="5" max="6" width="20.58203125" style="10" customWidth="1"/>
    <col min="7" max="7" width="31.33203125" style="10" customWidth="1"/>
    <col min="8" max="8" width="37.6640625" style="10" customWidth="1"/>
    <col min="9" max="9" width="18.08203125" style="3" customWidth="1"/>
    <col min="10" max="10" width="22" style="10" bestFit="1" customWidth="1"/>
    <col min="11" max="16384" width="8.6640625" style="3"/>
  </cols>
  <sheetData>
    <row r="1" spans="1:10" ht="20" customHeight="1" x14ac:dyDescent="0.45">
      <c r="A1" s="2" t="s">
        <v>0</v>
      </c>
      <c r="B1" s="2" t="s">
        <v>1</v>
      </c>
      <c r="C1" s="2" t="s">
        <v>69</v>
      </c>
      <c r="D1" s="2" t="s">
        <v>97</v>
      </c>
      <c r="E1" s="2" t="s">
        <v>59</v>
      </c>
      <c r="F1" s="2" t="s">
        <v>70</v>
      </c>
      <c r="G1" s="14" t="s">
        <v>100</v>
      </c>
      <c r="H1" s="14" t="s">
        <v>99</v>
      </c>
      <c r="I1" s="17" t="s">
        <v>96</v>
      </c>
      <c r="J1" s="2" t="s">
        <v>71</v>
      </c>
    </row>
    <row r="2" spans="1:10" ht="20" customHeight="1" x14ac:dyDescent="0.45">
      <c r="A2" s="12" t="s">
        <v>6</v>
      </c>
      <c r="B2" s="7">
        <v>103001</v>
      </c>
      <c r="C2" s="6">
        <v>46020</v>
      </c>
      <c r="D2" s="6">
        <f>VLOOKUP($B2,contract_tasks!$B$2:$D$148,3,0)</f>
        <v>46022</v>
      </c>
      <c r="E2" s="7" t="s">
        <v>65</v>
      </c>
      <c r="F2" s="7" t="s">
        <v>80</v>
      </c>
      <c r="G2" s="7" t="s">
        <v>98</v>
      </c>
      <c r="H2" s="9" t="s">
        <v>106</v>
      </c>
      <c r="I2" s="16" t="str">
        <f ca="1">IF(H2="Done", "", IF(TODAY() &gt;= EDATE(D2, -1), IF(TODAY() &gt; C2, "Delayed", "Warning"), ""))</f>
        <v/>
      </c>
      <c r="J2" s="7"/>
    </row>
    <row r="3" spans="1:10" ht="20" customHeight="1" x14ac:dyDescent="0.45">
      <c r="A3" s="12" t="s">
        <v>8</v>
      </c>
      <c r="B3" s="7">
        <v>103003</v>
      </c>
      <c r="C3" s="6">
        <v>46020</v>
      </c>
      <c r="D3" s="15">
        <v>46022</v>
      </c>
      <c r="E3" s="7" t="s">
        <v>65</v>
      </c>
      <c r="F3" s="7" t="s">
        <v>80</v>
      </c>
      <c r="G3" s="7" t="s">
        <v>98</v>
      </c>
      <c r="H3" s="7" t="s">
        <v>72</v>
      </c>
      <c r="I3" s="16" t="str">
        <f t="shared" ref="I3:I66" ca="1" si="0">IF(H3="Done", "", IF(TODAY() &gt;= EDATE(D3, -1), IF(TODAY() &gt; C3, "Delayed", "Warning"), ""))</f>
        <v/>
      </c>
      <c r="J3" s="7"/>
    </row>
    <row r="4" spans="1:10" ht="20" customHeight="1" x14ac:dyDescent="0.45">
      <c r="A4" s="12" t="s">
        <v>9</v>
      </c>
      <c r="B4" s="7">
        <v>103004</v>
      </c>
      <c r="C4" s="6">
        <v>46020</v>
      </c>
      <c r="D4" s="6">
        <f>VLOOKUP($B4,contract_tasks!$B$2:$D$148,3,0)</f>
        <v>46022</v>
      </c>
      <c r="E4" s="7" t="s">
        <v>65</v>
      </c>
      <c r="F4" s="7" t="s">
        <v>80</v>
      </c>
      <c r="G4" s="7" t="s">
        <v>98</v>
      </c>
      <c r="H4" s="9" t="s">
        <v>106</v>
      </c>
      <c r="I4" s="16" t="str">
        <f t="shared" ca="1" si="0"/>
        <v/>
      </c>
      <c r="J4" s="7"/>
    </row>
    <row r="5" spans="1:10" ht="20" customHeight="1" x14ac:dyDescent="0.45">
      <c r="A5" s="12" t="s">
        <v>20</v>
      </c>
      <c r="B5" s="7">
        <v>110001</v>
      </c>
      <c r="C5" s="6">
        <v>46020</v>
      </c>
      <c r="D5" s="15">
        <v>46022</v>
      </c>
      <c r="E5" s="7" t="s">
        <v>65</v>
      </c>
      <c r="F5" s="7" t="s">
        <v>80</v>
      </c>
      <c r="G5" s="7" t="s">
        <v>98</v>
      </c>
      <c r="H5" s="7" t="s">
        <v>72</v>
      </c>
      <c r="I5" s="16" t="str">
        <f t="shared" ca="1" si="0"/>
        <v/>
      </c>
      <c r="J5" s="7"/>
    </row>
    <row r="6" spans="1:10" ht="20" customHeight="1" x14ac:dyDescent="0.45">
      <c r="A6" s="12" t="s">
        <v>29</v>
      </c>
      <c r="B6" s="7">
        <v>301001</v>
      </c>
      <c r="C6" s="6">
        <v>46020</v>
      </c>
      <c r="D6" s="6">
        <f>VLOOKUP($B6,contract_tasks!$B$2:$D$148,3,0)</f>
        <v>46022</v>
      </c>
      <c r="E6" s="7" t="s">
        <v>65</v>
      </c>
      <c r="F6" s="7" t="s">
        <v>80</v>
      </c>
      <c r="G6" s="7" t="s">
        <v>98</v>
      </c>
      <c r="H6" s="9" t="s">
        <v>106</v>
      </c>
      <c r="I6" s="16" t="str">
        <f t="shared" ca="1" si="0"/>
        <v/>
      </c>
      <c r="J6" s="7"/>
    </row>
    <row r="7" spans="1:10" ht="20" customHeight="1" x14ac:dyDescent="0.45">
      <c r="A7" s="12" t="s">
        <v>34</v>
      </c>
      <c r="B7" s="9"/>
      <c r="C7" s="6">
        <v>46020</v>
      </c>
      <c r="D7" s="15">
        <v>46022</v>
      </c>
      <c r="E7" s="7" t="s">
        <v>65</v>
      </c>
      <c r="F7" s="7" t="s">
        <v>80</v>
      </c>
      <c r="G7" s="7" t="s">
        <v>98</v>
      </c>
      <c r="H7" s="7" t="s">
        <v>72</v>
      </c>
      <c r="I7" s="16" t="str">
        <f t="shared" ca="1" si="0"/>
        <v/>
      </c>
      <c r="J7" s="7"/>
    </row>
    <row r="8" spans="1:10" ht="20" customHeight="1" x14ac:dyDescent="0.45">
      <c r="A8" s="12" t="s">
        <v>34</v>
      </c>
      <c r="B8" s="9"/>
      <c r="C8" s="6">
        <v>46020</v>
      </c>
      <c r="D8" s="15">
        <v>46022</v>
      </c>
      <c r="E8" s="7" t="s">
        <v>65</v>
      </c>
      <c r="F8" s="7" t="s">
        <v>80</v>
      </c>
      <c r="G8" s="7" t="s">
        <v>98</v>
      </c>
      <c r="H8" s="7" t="s">
        <v>72</v>
      </c>
      <c r="I8" s="16" t="str">
        <f t="shared" ca="1" si="0"/>
        <v/>
      </c>
      <c r="J8" s="7"/>
    </row>
    <row r="9" spans="1:10" ht="20" customHeight="1" x14ac:dyDescent="0.45">
      <c r="A9" s="12" t="s">
        <v>6</v>
      </c>
      <c r="B9" s="7">
        <v>103001</v>
      </c>
      <c r="C9" s="6">
        <v>46000</v>
      </c>
      <c r="D9" s="6">
        <f>VLOOKUP($B9,contract_tasks!$B$2:$D$148,3,0)</f>
        <v>46022</v>
      </c>
      <c r="E9" s="7" t="s">
        <v>62</v>
      </c>
      <c r="F9" s="7" t="s">
        <v>62</v>
      </c>
      <c r="G9" s="7" t="s">
        <v>72</v>
      </c>
      <c r="H9" s="7" t="s">
        <v>72</v>
      </c>
      <c r="I9" s="16" t="str">
        <f t="shared" ca="1" si="0"/>
        <v/>
      </c>
      <c r="J9" s="7"/>
    </row>
    <row r="10" spans="1:10" ht="20" customHeight="1" x14ac:dyDescent="0.45">
      <c r="A10" s="12" t="s">
        <v>6</v>
      </c>
      <c r="B10" s="7">
        <v>103001</v>
      </c>
      <c r="C10" s="6">
        <v>45990</v>
      </c>
      <c r="D10" s="6">
        <f>VLOOKUP($B10,contract_tasks!$B$2:$D$148,3,0)</f>
        <v>46022</v>
      </c>
      <c r="E10" s="7" t="s">
        <v>62</v>
      </c>
      <c r="F10" s="7" t="s">
        <v>62</v>
      </c>
      <c r="G10" s="7" t="s">
        <v>98</v>
      </c>
      <c r="H10" s="11" t="s">
        <v>105</v>
      </c>
      <c r="I10" s="16" t="str">
        <f t="shared" ca="1" si="0"/>
        <v/>
      </c>
      <c r="J10" s="7"/>
    </row>
    <row r="11" spans="1:10" ht="20" customHeight="1" x14ac:dyDescent="0.45">
      <c r="A11" s="12" t="s">
        <v>7</v>
      </c>
      <c r="B11" s="7">
        <v>103002</v>
      </c>
      <c r="C11" s="6">
        <v>45990</v>
      </c>
      <c r="D11" s="15">
        <v>45991</v>
      </c>
      <c r="E11" s="7" t="s">
        <v>62</v>
      </c>
      <c r="F11" s="7" t="s">
        <v>62</v>
      </c>
      <c r="G11" s="7" t="s">
        <v>98</v>
      </c>
      <c r="H11" s="11" t="s">
        <v>105</v>
      </c>
      <c r="I11" s="16" t="str">
        <f t="shared" ca="1" si="0"/>
        <v>Warning</v>
      </c>
      <c r="J11" s="7"/>
    </row>
    <row r="12" spans="1:10" ht="20" customHeight="1" x14ac:dyDescent="0.45">
      <c r="A12" s="12" t="s">
        <v>8</v>
      </c>
      <c r="B12" s="7">
        <v>103003</v>
      </c>
      <c r="C12" s="6">
        <v>45990</v>
      </c>
      <c r="D12" s="15">
        <v>45991</v>
      </c>
      <c r="E12" s="7" t="s">
        <v>62</v>
      </c>
      <c r="F12" s="7" t="s">
        <v>62</v>
      </c>
      <c r="G12" s="7" t="s">
        <v>98</v>
      </c>
      <c r="H12" s="11" t="s">
        <v>105</v>
      </c>
      <c r="I12" s="16" t="str">
        <f t="shared" ca="1" si="0"/>
        <v>Warning</v>
      </c>
      <c r="J12" s="7"/>
    </row>
    <row r="13" spans="1:10" ht="20" customHeight="1" x14ac:dyDescent="0.45">
      <c r="A13" s="12" t="s">
        <v>9</v>
      </c>
      <c r="B13" s="7">
        <v>103004</v>
      </c>
      <c r="C13" s="6">
        <v>45990</v>
      </c>
      <c r="D13" s="6">
        <f>VLOOKUP($B13,contract_tasks!$B$2:$D$148,3,0)</f>
        <v>46022</v>
      </c>
      <c r="E13" s="7" t="s">
        <v>62</v>
      </c>
      <c r="F13" s="7" t="s">
        <v>62</v>
      </c>
      <c r="G13" s="7" t="s">
        <v>98</v>
      </c>
      <c r="H13" s="11" t="s">
        <v>105</v>
      </c>
      <c r="I13" s="16" t="str">
        <f t="shared" ca="1" si="0"/>
        <v/>
      </c>
      <c r="J13" s="7"/>
    </row>
    <row r="14" spans="1:10" ht="20" customHeight="1" x14ac:dyDescent="0.45">
      <c r="A14" s="12" t="s">
        <v>10</v>
      </c>
      <c r="B14" s="7">
        <v>104001</v>
      </c>
      <c r="C14" s="6">
        <v>45983</v>
      </c>
      <c r="D14" s="6">
        <f>VLOOKUP($B14,contract_tasks!$B$2:$D$148,3,0)</f>
        <v>46204</v>
      </c>
      <c r="E14" s="7" t="s">
        <v>62</v>
      </c>
      <c r="F14" s="7" t="s">
        <v>62</v>
      </c>
      <c r="G14" s="7" t="s">
        <v>98</v>
      </c>
      <c r="H14" s="11" t="s">
        <v>105</v>
      </c>
      <c r="I14" s="16" t="str">
        <f t="shared" ca="1" si="0"/>
        <v/>
      </c>
      <c r="J14" s="7"/>
    </row>
    <row r="15" spans="1:10" ht="20" customHeight="1" x14ac:dyDescent="0.45">
      <c r="A15" s="12" t="s">
        <v>17</v>
      </c>
      <c r="B15" s="7">
        <v>108003</v>
      </c>
      <c r="C15" s="6">
        <v>45983</v>
      </c>
      <c r="D15" s="6">
        <f>VLOOKUP($B15,contract_tasks!$B$2:$D$148,3,0)</f>
        <v>46022</v>
      </c>
      <c r="E15" s="7" t="s">
        <v>62</v>
      </c>
      <c r="F15" s="7" t="s">
        <v>62</v>
      </c>
      <c r="G15" s="7" t="s">
        <v>98</v>
      </c>
      <c r="H15" s="11" t="s">
        <v>105</v>
      </c>
      <c r="I15" s="16" t="str">
        <f t="shared" ca="1" si="0"/>
        <v/>
      </c>
      <c r="J15" s="7"/>
    </row>
    <row r="16" spans="1:10" ht="20" customHeight="1" x14ac:dyDescent="0.45">
      <c r="A16" s="12" t="s">
        <v>27</v>
      </c>
      <c r="B16" s="7">
        <v>204001</v>
      </c>
      <c r="C16" s="6">
        <v>45976</v>
      </c>
      <c r="D16" s="6">
        <f>VLOOKUP($B16,contract_tasks!$B$2:$D$148,3,0)</f>
        <v>46231</v>
      </c>
      <c r="E16" s="7" t="s">
        <v>64</v>
      </c>
      <c r="F16" s="7" t="s">
        <v>81</v>
      </c>
      <c r="G16" s="7" t="s">
        <v>98</v>
      </c>
      <c r="H16" s="11" t="s">
        <v>105</v>
      </c>
      <c r="I16" s="16" t="str">
        <f t="shared" ca="1" si="0"/>
        <v/>
      </c>
      <c r="J16" s="7"/>
    </row>
    <row r="17" spans="1:10" ht="20" customHeight="1" x14ac:dyDescent="0.45">
      <c r="A17" s="12" t="s">
        <v>9</v>
      </c>
      <c r="B17" s="7">
        <v>103004</v>
      </c>
      <c r="C17" s="6">
        <v>45975</v>
      </c>
      <c r="D17" s="6">
        <f>VLOOKUP($B17,contract_tasks!$B$2:$D$148,3,0)</f>
        <v>46022</v>
      </c>
      <c r="E17" s="7" t="s">
        <v>62</v>
      </c>
      <c r="F17" s="7" t="s">
        <v>62</v>
      </c>
      <c r="G17" s="7" t="s">
        <v>72</v>
      </c>
      <c r="H17" s="7" t="s">
        <v>72</v>
      </c>
      <c r="I17" s="16" t="str">
        <f t="shared" ca="1" si="0"/>
        <v/>
      </c>
      <c r="J17" s="7" t="s">
        <v>89</v>
      </c>
    </row>
    <row r="18" spans="1:10" ht="20" customHeight="1" x14ac:dyDescent="0.45">
      <c r="A18" s="12" t="s">
        <v>9</v>
      </c>
      <c r="B18" s="7">
        <v>103004</v>
      </c>
      <c r="C18" s="6">
        <v>45962</v>
      </c>
      <c r="D18" s="6">
        <f>VLOOKUP($B18,contract_tasks!$B$2:$D$148,3,0)</f>
        <v>46022</v>
      </c>
      <c r="E18" s="7" t="s">
        <v>62</v>
      </c>
      <c r="F18" s="7" t="s">
        <v>62</v>
      </c>
      <c r="G18" s="7" t="s">
        <v>72</v>
      </c>
      <c r="H18" s="7" t="s">
        <v>72</v>
      </c>
      <c r="I18" s="16" t="str">
        <f t="shared" ca="1" si="0"/>
        <v/>
      </c>
      <c r="J18" s="7"/>
    </row>
    <row r="19" spans="1:10" ht="20" customHeight="1" x14ac:dyDescent="0.45">
      <c r="A19" s="12" t="s">
        <v>27</v>
      </c>
      <c r="B19" s="7">
        <v>204001</v>
      </c>
      <c r="C19" s="6">
        <v>45962</v>
      </c>
      <c r="D19" s="6">
        <f>VLOOKUP($B19,contract_tasks!$B$2:$D$148,3,0)</f>
        <v>46231</v>
      </c>
      <c r="E19" s="7" t="s">
        <v>64</v>
      </c>
      <c r="F19" s="7" t="s">
        <v>81</v>
      </c>
      <c r="G19" s="7" t="s">
        <v>98</v>
      </c>
      <c r="H19" s="11" t="s">
        <v>105</v>
      </c>
      <c r="I19" s="16" t="str">
        <f t="shared" ca="1" si="0"/>
        <v/>
      </c>
      <c r="J19" s="7"/>
    </row>
    <row r="20" spans="1:10" ht="20" customHeight="1" x14ac:dyDescent="0.45">
      <c r="A20" s="12" t="s">
        <v>22</v>
      </c>
      <c r="B20" s="7">
        <v>111002</v>
      </c>
      <c r="C20" s="6">
        <v>45959</v>
      </c>
      <c r="D20" s="15">
        <v>45991</v>
      </c>
      <c r="E20" s="7" t="s">
        <v>64</v>
      </c>
      <c r="F20" s="7" t="s">
        <v>81</v>
      </c>
      <c r="G20" s="7" t="s">
        <v>98</v>
      </c>
      <c r="H20" s="11" t="s">
        <v>105</v>
      </c>
      <c r="I20" s="16" t="str">
        <f t="shared" ca="1" si="0"/>
        <v>Delayed</v>
      </c>
      <c r="J20" s="7"/>
    </row>
    <row r="21" spans="1:10" ht="20" customHeight="1" x14ac:dyDescent="0.45">
      <c r="A21" s="12" t="s">
        <v>10</v>
      </c>
      <c r="B21" s="7">
        <v>104001</v>
      </c>
      <c r="C21" s="6">
        <v>45955</v>
      </c>
      <c r="D21" s="6">
        <f>VLOOKUP($B21,contract_tasks!$B$2:$D$148,3,0)</f>
        <v>46204</v>
      </c>
      <c r="E21" s="7" t="s">
        <v>62</v>
      </c>
      <c r="F21" s="7" t="s">
        <v>62</v>
      </c>
      <c r="G21" s="7" t="s">
        <v>72</v>
      </c>
      <c r="H21" s="7" t="s">
        <v>72</v>
      </c>
      <c r="I21" s="16" t="str">
        <f t="shared" ca="1" si="0"/>
        <v/>
      </c>
      <c r="J21" s="7" t="s">
        <v>88</v>
      </c>
    </row>
    <row r="22" spans="1:10" ht="20" customHeight="1" x14ac:dyDescent="0.45">
      <c r="A22" s="12" t="s">
        <v>4</v>
      </c>
      <c r="B22" s="7">
        <v>101001</v>
      </c>
      <c r="C22" s="6">
        <v>45952</v>
      </c>
      <c r="D22" s="6">
        <f>VLOOKUP($B22,contract_tasks!$B$2:$D$148,3,0)</f>
        <v>46022</v>
      </c>
      <c r="E22" s="7" t="s">
        <v>62</v>
      </c>
      <c r="F22" s="7" t="s">
        <v>62</v>
      </c>
      <c r="G22" s="7" t="s">
        <v>98</v>
      </c>
      <c r="H22" s="11" t="s">
        <v>104</v>
      </c>
      <c r="I22" s="16" t="str">
        <f t="shared" ca="1" si="0"/>
        <v/>
      </c>
      <c r="J22" s="7"/>
    </row>
    <row r="23" spans="1:10" ht="20" customHeight="1" x14ac:dyDescent="0.45">
      <c r="A23" s="12" t="s">
        <v>10</v>
      </c>
      <c r="B23" s="7">
        <v>104001</v>
      </c>
      <c r="C23" s="6">
        <v>45952</v>
      </c>
      <c r="D23" s="6">
        <f>VLOOKUP($B23,contract_tasks!$B$2:$D$148,3,0)</f>
        <v>46204</v>
      </c>
      <c r="E23" s="7" t="s">
        <v>62</v>
      </c>
      <c r="F23" s="7" t="s">
        <v>62</v>
      </c>
      <c r="G23" s="7" t="s">
        <v>98</v>
      </c>
      <c r="H23" s="11" t="s">
        <v>104</v>
      </c>
      <c r="I23" s="16" t="str">
        <f t="shared" ca="1" si="0"/>
        <v/>
      </c>
      <c r="J23" s="7"/>
    </row>
    <row r="24" spans="1:10" ht="20" customHeight="1" x14ac:dyDescent="0.45">
      <c r="A24" s="12" t="s">
        <v>12</v>
      </c>
      <c r="B24" s="7">
        <v>104003</v>
      </c>
      <c r="C24" s="6">
        <v>45952</v>
      </c>
      <c r="D24" s="15">
        <v>45991</v>
      </c>
      <c r="E24" s="7" t="s">
        <v>64</v>
      </c>
      <c r="F24" s="7" t="s">
        <v>81</v>
      </c>
      <c r="G24" s="7" t="s">
        <v>98</v>
      </c>
      <c r="H24" s="11" t="s">
        <v>105</v>
      </c>
      <c r="I24" s="16" t="str">
        <f t="shared" ca="1" si="0"/>
        <v>Delayed</v>
      </c>
      <c r="J24" s="7"/>
    </row>
    <row r="25" spans="1:10" ht="20" customHeight="1" x14ac:dyDescent="0.45">
      <c r="A25" s="12" t="s">
        <v>27</v>
      </c>
      <c r="B25" s="7">
        <v>204001</v>
      </c>
      <c r="C25" s="6">
        <v>45952</v>
      </c>
      <c r="D25" s="6">
        <f>VLOOKUP($B25,contract_tasks!$B$2:$D$148,3,0)</f>
        <v>46231</v>
      </c>
      <c r="E25" s="7" t="s">
        <v>64</v>
      </c>
      <c r="F25" s="7" t="s">
        <v>81</v>
      </c>
      <c r="G25" s="7" t="s">
        <v>98</v>
      </c>
      <c r="H25" s="11" t="s">
        <v>104</v>
      </c>
      <c r="I25" s="16" t="str">
        <f t="shared" ca="1" si="0"/>
        <v/>
      </c>
      <c r="J25" s="7"/>
    </row>
    <row r="26" spans="1:10" ht="20" customHeight="1" x14ac:dyDescent="0.45">
      <c r="A26" s="12" t="s">
        <v>30</v>
      </c>
      <c r="B26" s="7">
        <v>301002</v>
      </c>
      <c r="C26" s="6">
        <v>45952</v>
      </c>
      <c r="D26" s="6">
        <f>VLOOKUP($B26,contract_tasks!$B$2:$D$148,3,0)</f>
        <v>46022</v>
      </c>
      <c r="E26" s="7" t="s">
        <v>62</v>
      </c>
      <c r="F26" s="7" t="s">
        <v>62</v>
      </c>
      <c r="G26" s="7" t="s">
        <v>98</v>
      </c>
      <c r="H26" s="11" t="s">
        <v>104</v>
      </c>
      <c r="I26" s="16" t="str">
        <f t="shared" ca="1" si="0"/>
        <v/>
      </c>
      <c r="J26" s="7"/>
    </row>
    <row r="27" spans="1:10" ht="20" customHeight="1" x14ac:dyDescent="0.45">
      <c r="A27" s="12" t="s">
        <v>16</v>
      </c>
      <c r="B27" s="7">
        <v>108001</v>
      </c>
      <c r="C27" s="6">
        <v>45949</v>
      </c>
      <c r="D27" s="15">
        <v>45991</v>
      </c>
      <c r="E27" s="7" t="s">
        <v>63</v>
      </c>
      <c r="F27" s="7" t="s">
        <v>63</v>
      </c>
      <c r="G27" s="7" t="s">
        <v>72</v>
      </c>
      <c r="H27" s="7" t="s">
        <v>72</v>
      </c>
      <c r="I27" s="16" t="str">
        <f t="shared" ca="1" si="0"/>
        <v>Delayed</v>
      </c>
      <c r="J27" s="7"/>
    </row>
    <row r="28" spans="1:10" ht="20" customHeight="1" x14ac:dyDescent="0.45">
      <c r="A28" s="12" t="s">
        <v>29</v>
      </c>
      <c r="B28" s="7">
        <v>301001</v>
      </c>
      <c r="C28" s="6">
        <v>45949</v>
      </c>
      <c r="D28" s="6">
        <f>VLOOKUP($B28,contract_tasks!$B$2:$D$148,3,0)</f>
        <v>46022</v>
      </c>
      <c r="E28" s="7" t="s">
        <v>63</v>
      </c>
      <c r="F28" s="7" t="s">
        <v>63</v>
      </c>
      <c r="G28" s="7" t="s">
        <v>72</v>
      </c>
      <c r="H28" s="7" t="s">
        <v>72</v>
      </c>
      <c r="I28" s="16" t="str">
        <f t="shared" ca="1" si="0"/>
        <v/>
      </c>
      <c r="J28" s="7"/>
    </row>
    <row r="29" spans="1:10" ht="20" customHeight="1" x14ac:dyDescent="0.45">
      <c r="A29" s="12" t="s">
        <v>17</v>
      </c>
      <c r="B29" s="7">
        <v>108003</v>
      </c>
      <c r="C29" s="6">
        <v>45945</v>
      </c>
      <c r="D29" s="6">
        <f>VLOOKUP($B29,contract_tasks!$B$2:$D$148,3,0)</f>
        <v>46022</v>
      </c>
      <c r="E29" s="7" t="s">
        <v>62</v>
      </c>
      <c r="F29" s="7" t="s">
        <v>62</v>
      </c>
      <c r="G29" s="7" t="s">
        <v>98</v>
      </c>
      <c r="H29" s="11" t="s">
        <v>104</v>
      </c>
      <c r="I29" s="16" t="str">
        <f t="shared" ca="1" si="0"/>
        <v/>
      </c>
      <c r="J29" s="7"/>
    </row>
    <row r="30" spans="1:10" ht="20" customHeight="1" x14ac:dyDescent="0.45">
      <c r="A30" s="12" t="s">
        <v>24</v>
      </c>
      <c r="B30" s="7">
        <v>202001</v>
      </c>
      <c r="C30" s="6">
        <v>45945</v>
      </c>
      <c r="D30" s="6">
        <f>VLOOKUP($B30,contract_tasks!$B$2:$D$148,3,0)</f>
        <v>46022</v>
      </c>
      <c r="E30" s="7" t="s">
        <v>62</v>
      </c>
      <c r="F30" s="7" t="s">
        <v>62</v>
      </c>
      <c r="G30" s="7" t="s">
        <v>98</v>
      </c>
      <c r="H30" s="11" t="s">
        <v>104</v>
      </c>
      <c r="I30" s="16" t="str">
        <f t="shared" ca="1" si="0"/>
        <v/>
      </c>
      <c r="J30" s="7"/>
    </row>
    <row r="31" spans="1:10" ht="20" customHeight="1" x14ac:dyDescent="0.45">
      <c r="A31" s="12" t="s">
        <v>30</v>
      </c>
      <c r="B31" s="7">
        <v>301002</v>
      </c>
      <c r="C31" s="6">
        <v>45945</v>
      </c>
      <c r="D31" s="6">
        <f>VLOOKUP($B31,contract_tasks!$B$2:$D$148,3,0)</f>
        <v>46022</v>
      </c>
      <c r="E31" s="7" t="s">
        <v>68</v>
      </c>
      <c r="F31" s="7" t="s">
        <v>84</v>
      </c>
      <c r="G31" s="7" t="s">
        <v>98</v>
      </c>
      <c r="H31" s="11" t="s">
        <v>104</v>
      </c>
      <c r="I31" s="16" t="str">
        <f t="shared" ca="1" si="0"/>
        <v/>
      </c>
      <c r="J31" s="7"/>
    </row>
    <row r="32" spans="1:10" ht="20" customHeight="1" x14ac:dyDescent="0.45">
      <c r="A32" s="12" t="s">
        <v>18</v>
      </c>
      <c r="B32" s="7">
        <v>109001</v>
      </c>
      <c r="C32" s="6">
        <v>45938</v>
      </c>
      <c r="D32" s="6">
        <f>VLOOKUP($B32,contract_tasks!$B$2:$D$148,3,0)</f>
        <v>46216</v>
      </c>
      <c r="E32" s="7" t="s">
        <v>62</v>
      </c>
      <c r="F32" s="7" t="s">
        <v>62</v>
      </c>
      <c r="G32" s="7" t="s">
        <v>98</v>
      </c>
      <c r="H32" s="11" t="s">
        <v>104</v>
      </c>
      <c r="I32" s="16" t="str">
        <f t="shared" ca="1" si="0"/>
        <v/>
      </c>
      <c r="J32" s="7"/>
    </row>
    <row r="33" spans="1:10" ht="20" customHeight="1" x14ac:dyDescent="0.45">
      <c r="A33" s="12" t="s">
        <v>19</v>
      </c>
      <c r="B33" s="7">
        <v>109002</v>
      </c>
      <c r="C33" s="6">
        <v>45938</v>
      </c>
      <c r="D33" s="6">
        <f>VLOOKUP($B33,contract_tasks!$B$2:$D$148,3,0)</f>
        <v>46216</v>
      </c>
      <c r="E33" s="7" t="s">
        <v>62</v>
      </c>
      <c r="F33" s="7" t="s">
        <v>62</v>
      </c>
      <c r="G33" s="7" t="s">
        <v>98</v>
      </c>
      <c r="H33" s="11" t="s">
        <v>104</v>
      </c>
      <c r="I33" s="16" t="str">
        <f t="shared" ca="1" si="0"/>
        <v/>
      </c>
      <c r="J33" s="7"/>
    </row>
    <row r="34" spans="1:10" ht="20" customHeight="1" x14ac:dyDescent="0.45">
      <c r="A34" s="12" t="s">
        <v>20</v>
      </c>
      <c r="B34" s="7">
        <v>110001</v>
      </c>
      <c r="C34" s="6">
        <v>45938</v>
      </c>
      <c r="D34" s="15">
        <v>45991</v>
      </c>
      <c r="E34" s="7" t="s">
        <v>62</v>
      </c>
      <c r="F34" s="7" t="s">
        <v>62</v>
      </c>
      <c r="G34" s="7" t="s">
        <v>98</v>
      </c>
      <c r="H34" s="11" t="s">
        <v>105</v>
      </c>
      <c r="I34" s="16" t="str">
        <f t="shared" ca="1" si="0"/>
        <v>Delayed</v>
      </c>
      <c r="J34" s="7"/>
    </row>
    <row r="35" spans="1:10" ht="20" customHeight="1" x14ac:dyDescent="0.45">
      <c r="A35" s="12" t="s">
        <v>21</v>
      </c>
      <c r="B35" s="7">
        <v>111001</v>
      </c>
      <c r="C35" s="6">
        <v>45938</v>
      </c>
      <c r="D35" s="6">
        <f>VLOOKUP($B35,contract_tasks!$B$2:$D$148,3,0)</f>
        <v>46088</v>
      </c>
      <c r="E35" s="7" t="s">
        <v>62</v>
      </c>
      <c r="F35" s="7" t="s">
        <v>62</v>
      </c>
      <c r="G35" s="7" t="s">
        <v>98</v>
      </c>
      <c r="H35" s="11" t="s">
        <v>104</v>
      </c>
      <c r="I35" s="16" t="str">
        <f t="shared" ca="1" si="0"/>
        <v/>
      </c>
      <c r="J35" s="7"/>
    </row>
    <row r="36" spans="1:10" ht="20" customHeight="1" x14ac:dyDescent="0.45">
      <c r="A36" s="12" t="s">
        <v>27</v>
      </c>
      <c r="B36" s="7">
        <v>204001</v>
      </c>
      <c r="C36" s="6">
        <v>45938</v>
      </c>
      <c r="D36" s="6">
        <f>VLOOKUP($B36,contract_tasks!$B$2:$D$148,3,0)</f>
        <v>46231</v>
      </c>
      <c r="E36" s="7" t="s">
        <v>64</v>
      </c>
      <c r="F36" s="7" t="s">
        <v>81</v>
      </c>
      <c r="G36" s="7" t="s">
        <v>98</v>
      </c>
      <c r="H36" s="11" t="s">
        <v>104</v>
      </c>
      <c r="I36" s="16" t="str">
        <f t="shared" ca="1" si="0"/>
        <v/>
      </c>
      <c r="J36" s="7"/>
    </row>
    <row r="37" spans="1:10" ht="20" customHeight="1" x14ac:dyDescent="0.45">
      <c r="A37" s="12" t="s">
        <v>32</v>
      </c>
      <c r="B37" s="7">
        <v>206001</v>
      </c>
      <c r="C37" s="6">
        <v>45938</v>
      </c>
      <c r="D37" s="6">
        <f>VLOOKUP($B37,contract_tasks!$B$2:$D$148,3,0)</f>
        <v>46247</v>
      </c>
      <c r="E37" s="7" t="s">
        <v>64</v>
      </c>
      <c r="F37" s="7" t="s">
        <v>81</v>
      </c>
      <c r="G37" s="7" t="s">
        <v>98</v>
      </c>
      <c r="H37" s="11" t="s">
        <v>104</v>
      </c>
      <c r="I37" s="16" t="str">
        <f t="shared" ca="1" si="0"/>
        <v/>
      </c>
      <c r="J37" s="7"/>
    </row>
    <row r="38" spans="1:10" ht="20" customHeight="1" x14ac:dyDescent="0.45">
      <c r="A38" s="12" t="s">
        <v>13</v>
      </c>
      <c r="B38" s="7">
        <v>105001</v>
      </c>
      <c r="C38" s="19">
        <v>45931</v>
      </c>
      <c r="D38" s="15">
        <v>45991</v>
      </c>
      <c r="E38" s="18" t="s">
        <v>87</v>
      </c>
      <c r="F38" s="18"/>
      <c r="G38" s="7" t="s">
        <v>72</v>
      </c>
      <c r="H38" s="7" t="s">
        <v>72</v>
      </c>
      <c r="I38" s="16" t="str">
        <f t="shared" ca="1" si="0"/>
        <v>Delayed</v>
      </c>
      <c r="J38" s="7"/>
    </row>
    <row r="39" spans="1:10" ht="20" customHeight="1" x14ac:dyDescent="0.45">
      <c r="A39" s="12" t="s">
        <v>17</v>
      </c>
      <c r="B39" s="7">
        <v>108003</v>
      </c>
      <c r="C39" s="19">
        <v>45931</v>
      </c>
      <c r="D39" s="6">
        <f>VLOOKUP($B39,contract_tasks!$B$2:$D$148,3,0)</f>
        <v>46022</v>
      </c>
      <c r="E39" s="18" t="s">
        <v>87</v>
      </c>
      <c r="F39" s="18"/>
      <c r="G39" s="7" t="s">
        <v>72</v>
      </c>
      <c r="H39" s="7" t="s">
        <v>72</v>
      </c>
      <c r="I39" s="16" t="str">
        <f t="shared" ca="1" si="0"/>
        <v/>
      </c>
      <c r="J39" s="7"/>
    </row>
    <row r="40" spans="1:10" ht="20" customHeight="1" x14ac:dyDescent="0.45">
      <c r="A40" s="12" t="s">
        <v>18</v>
      </c>
      <c r="B40" s="7">
        <v>109001</v>
      </c>
      <c r="C40" s="6">
        <v>45931</v>
      </c>
      <c r="D40" s="6">
        <f>VLOOKUP($B40,contract_tasks!$B$2:$D$148,3,0)</f>
        <v>46216</v>
      </c>
      <c r="E40" s="7" t="s">
        <v>66</v>
      </c>
      <c r="F40" s="7" t="s">
        <v>75</v>
      </c>
      <c r="G40" s="7" t="s">
        <v>98</v>
      </c>
      <c r="H40" s="11" t="s">
        <v>104</v>
      </c>
      <c r="I40" s="16" t="str">
        <f t="shared" ca="1" si="0"/>
        <v/>
      </c>
      <c r="J40" s="7"/>
    </row>
    <row r="41" spans="1:10" ht="20" customHeight="1" x14ac:dyDescent="0.45">
      <c r="A41" s="12" t="s">
        <v>19</v>
      </c>
      <c r="B41" s="7">
        <v>109002</v>
      </c>
      <c r="C41" s="6">
        <v>45931</v>
      </c>
      <c r="D41" s="6">
        <f>VLOOKUP($B41,contract_tasks!$B$2:$D$148,3,0)</f>
        <v>46216</v>
      </c>
      <c r="E41" s="7" t="s">
        <v>66</v>
      </c>
      <c r="F41" s="7" t="s">
        <v>75</v>
      </c>
      <c r="G41" s="7" t="s">
        <v>98</v>
      </c>
      <c r="H41" s="11" t="s">
        <v>104</v>
      </c>
      <c r="I41" s="16" t="str">
        <f t="shared" ca="1" si="0"/>
        <v/>
      </c>
      <c r="J41" s="7"/>
    </row>
    <row r="42" spans="1:10" ht="20" customHeight="1" x14ac:dyDescent="0.45">
      <c r="A42" s="12" t="s">
        <v>21</v>
      </c>
      <c r="B42" s="7">
        <v>111001</v>
      </c>
      <c r="C42" s="19">
        <v>45931</v>
      </c>
      <c r="D42" s="6">
        <f>VLOOKUP($B42,contract_tasks!$B$2:$D$148,3,0)</f>
        <v>46088</v>
      </c>
      <c r="E42" s="18" t="s">
        <v>87</v>
      </c>
      <c r="F42" s="18"/>
      <c r="G42" s="7" t="s">
        <v>72</v>
      </c>
      <c r="H42" s="7" t="s">
        <v>72</v>
      </c>
      <c r="I42" s="16" t="str">
        <f t="shared" ca="1" si="0"/>
        <v/>
      </c>
      <c r="J42" s="7"/>
    </row>
    <row r="43" spans="1:10" ht="20" customHeight="1" x14ac:dyDescent="0.45">
      <c r="A43" s="12" t="s">
        <v>27</v>
      </c>
      <c r="B43" s="7">
        <v>204001</v>
      </c>
      <c r="C43" s="19">
        <v>45931</v>
      </c>
      <c r="D43" s="6">
        <f>VLOOKUP($B43,contract_tasks!$B$2:$D$148,3,0)</f>
        <v>46231</v>
      </c>
      <c r="E43" s="18" t="s">
        <v>87</v>
      </c>
      <c r="F43" s="18"/>
      <c r="G43" s="7" t="s">
        <v>72</v>
      </c>
      <c r="H43" s="7" t="s">
        <v>72</v>
      </c>
      <c r="I43" s="16" t="str">
        <f t="shared" ca="1" si="0"/>
        <v/>
      </c>
      <c r="J43" s="7"/>
    </row>
    <row r="44" spans="1:10" ht="20" customHeight="1" x14ac:dyDescent="0.45">
      <c r="A44" s="12" t="s">
        <v>28</v>
      </c>
      <c r="B44" s="7">
        <v>205001</v>
      </c>
      <c r="C44" s="19">
        <v>45931</v>
      </c>
      <c r="D44" s="6">
        <f>VLOOKUP($B44,contract_tasks!$B$2:$D$148,3,0)</f>
        <v>46203</v>
      </c>
      <c r="E44" s="18" t="s">
        <v>87</v>
      </c>
      <c r="F44" s="18"/>
      <c r="G44" s="7" t="s">
        <v>72</v>
      </c>
      <c r="H44" s="7" t="s">
        <v>72</v>
      </c>
      <c r="I44" s="16" t="str">
        <f t="shared" ca="1" si="0"/>
        <v/>
      </c>
      <c r="J44" s="7"/>
    </row>
    <row r="45" spans="1:10" ht="20" customHeight="1" x14ac:dyDescent="0.45">
      <c r="A45" s="12" t="s">
        <v>32</v>
      </c>
      <c r="B45" s="7">
        <v>206001</v>
      </c>
      <c r="C45" s="6">
        <v>45931</v>
      </c>
      <c r="D45" s="6">
        <f>VLOOKUP($B45,contract_tasks!$B$2:$D$148,3,0)</f>
        <v>46247</v>
      </c>
      <c r="E45" s="7" t="s">
        <v>101</v>
      </c>
      <c r="F45" s="7" t="s">
        <v>77</v>
      </c>
      <c r="G45" s="7" t="s">
        <v>98</v>
      </c>
      <c r="H45" s="11" t="s">
        <v>104</v>
      </c>
      <c r="I45" s="16" t="str">
        <f t="shared" ca="1" si="0"/>
        <v/>
      </c>
      <c r="J45" s="7"/>
    </row>
    <row r="46" spans="1:10" ht="20" customHeight="1" x14ac:dyDescent="0.45">
      <c r="A46" s="12" t="s">
        <v>14</v>
      </c>
      <c r="B46" s="7">
        <v>106001</v>
      </c>
      <c r="C46" s="6">
        <v>45930</v>
      </c>
      <c r="D46" s="6">
        <f>VLOOKUP($B46,contract_tasks!$B$2:$D$148,3,0)</f>
        <v>46022</v>
      </c>
      <c r="E46" s="7" t="s">
        <v>64</v>
      </c>
      <c r="F46" s="7" t="s">
        <v>64</v>
      </c>
      <c r="G46" s="7" t="s">
        <v>72</v>
      </c>
      <c r="H46" s="7" t="s">
        <v>72</v>
      </c>
      <c r="I46" s="16" t="str">
        <f t="shared" ca="1" si="0"/>
        <v/>
      </c>
      <c r="J46" s="7"/>
    </row>
    <row r="47" spans="1:10" ht="20" customHeight="1" x14ac:dyDescent="0.45">
      <c r="A47" s="12" t="s">
        <v>26</v>
      </c>
      <c r="B47" s="7">
        <v>203002</v>
      </c>
      <c r="C47" s="6">
        <v>45930</v>
      </c>
      <c r="D47" s="6">
        <f>VLOOKUP($B47,contract_tasks!$B$2:$D$148,3,0)</f>
        <v>46022</v>
      </c>
      <c r="E47" s="7" t="s">
        <v>62</v>
      </c>
      <c r="F47" s="7" t="s">
        <v>62</v>
      </c>
      <c r="G47" s="7" t="s">
        <v>72</v>
      </c>
      <c r="H47" s="7" t="s">
        <v>72</v>
      </c>
      <c r="I47" s="16" t="str">
        <f t="shared" ca="1" si="0"/>
        <v/>
      </c>
      <c r="J47" s="7"/>
    </row>
    <row r="48" spans="1:10" ht="20" customHeight="1" x14ac:dyDescent="0.45">
      <c r="A48" s="12" t="s">
        <v>9</v>
      </c>
      <c r="B48" s="7">
        <v>103004</v>
      </c>
      <c r="C48" s="6">
        <v>45929</v>
      </c>
      <c r="D48" s="6">
        <f>VLOOKUP($B48,contract_tasks!$B$2:$D$148,3,0)</f>
        <v>46022</v>
      </c>
      <c r="E48" s="7" t="s">
        <v>64</v>
      </c>
      <c r="F48" s="7" t="s">
        <v>78</v>
      </c>
      <c r="G48" s="7" t="s">
        <v>98</v>
      </c>
      <c r="H48" s="11" t="s">
        <v>104</v>
      </c>
      <c r="I48" s="16" t="str">
        <f t="shared" ca="1" si="0"/>
        <v/>
      </c>
      <c r="J48" s="7"/>
    </row>
    <row r="49" spans="1:10" ht="20" customHeight="1" x14ac:dyDescent="0.45">
      <c r="A49" s="12" t="s">
        <v>10</v>
      </c>
      <c r="B49" s="7">
        <v>104001</v>
      </c>
      <c r="C49" s="6">
        <v>45929</v>
      </c>
      <c r="D49" s="6">
        <f>VLOOKUP($B49,contract_tasks!$B$2:$D$148,3,0)</f>
        <v>46204</v>
      </c>
      <c r="E49" s="7" t="s">
        <v>64</v>
      </c>
      <c r="F49" s="7" t="s">
        <v>78</v>
      </c>
      <c r="G49" s="7" t="s">
        <v>98</v>
      </c>
      <c r="H49" s="11" t="s">
        <v>104</v>
      </c>
      <c r="I49" s="16" t="str">
        <f t="shared" ca="1" si="0"/>
        <v/>
      </c>
      <c r="J49" s="7"/>
    </row>
    <row r="50" spans="1:10" ht="20" customHeight="1" x14ac:dyDescent="0.45">
      <c r="A50" s="12" t="s">
        <v>19</v>
      </c>
      <c r="B50" s="7">
        <v>109002</v>
      </c>
      <c r="C50" s="6">
        <v>45929</v>
      </c>
      <c r="D50" s="6">
        <f>VLOOKUP($B50,contract_tasks!$B$2:$D$148,3,0)</f>
        <v>46216</v>
      </c>
      <c r="E50" s="7" t="s">
        <v>62</v>
      </c>
      <c r="F50" s="7" t="s">
        <v>62</v>
      </c>
      <c r="G50" s="7" t="s">
        <v>98</v>
      </c>
      <c r="H50" s="11" t="s">
        <v>104</v>
      </c>
      <c r="I50" s="16" t="str">
        <f t="shared" ca="1" si="0"/>
        <v/>
      </c>
      <c r="J50" s="7"/>
    </row>
    <row r="51" spans="1:10" ht="20" customHeight="1" x14ac:dyDescent="0.45">
      <c r="A51" s="12" t="s">
        <v>23</v>
      </c>
      <c r="B51" s="7">
        <v>201001</v>
      </c>
      <c r="C51" s="6">
        <v>45929</v>
      </c>
      <c r="D51" s="15">
        <v>45991</v>
      </c>
      <c r="E51" s="7" t="s">
        <v>66</v>
      </c>
      <c r="F51" s="7" t="s">
        <v>75</v>
      </c>
      <c r="G51" s="7" t="s">
        <v>98</v>
      </c>
      <c r="H51" s="11" t="s">
        <v>105</v>
      </c>
      <c r="I51" s="16" t="str">
        <f t="shared" ca="1" si="0"/>
        <v>Delayed</v>
      </c>
      <c r="J51" s="7"/>
    </row>
    <row r="52" spans="1:10" ht="20" customHeight="1" x14ac:dyDescent="0.45">
      <c r="A52" s="12" t="s">
        <v>18</v>
      </c>
      <c r="B52" s="7">
        <v>109001</v>
      </c>
      <c r="C52" s="6">
        <v>45922</v>
      </c>
      <c r="D52" s="6">
        <f>VLOOKUP($B52,contract_tasks!$B$2:$D$148,3,0)</f>
        <v>46216</v>
      </c>
      <c r="E52" s="7" t="s">
        <v>101</v>
      </c>
      <c r="F52" s="7" t="s">
        <v>83</v>
      </c>
      <c r="G52" s="7" t="s">
        <v>98</v>
      </c>
      <c r="H52" s="11" t="s">
        <v>104</v>
      </c>
      <c r="I52" s="16" t="str">
        <f t="shared" ca="1" si="0"/>
        <v/>
      </c>
      <c r="J52" s="7"/>
    </row>
    <row r="53" spans="1:10" ht="20" customHeight="1" x14ac:dyDescent="0.45">
      <c r="A53" s="12" t="s">
        <v>19</v>
      </c>
      <c r="B53" s="7">
        <v>109002</v>
      </c>
      <c r="C53" s="6">
        <v>45922</v>
      </c>
      <c r="D53" s="6">
        <f>VLOOKUP($B53,contract_tasks!$B$2:$D$148,3,0)</f>
        <v>46216</v>
      </c>
      <c r="E53" s="7" t="s">
        <v>101</v>
      </c>
      <c r="F53" s="7" t="s">
        <v>83</v>
      </c>
      <c r="G53" s="7" t="s">
        <v>98</v>
      </c>
      <c r="H53" s="11" t="s">
        <v>104</v>
      </c>
      <c r="I53" s="16" t="str">
        <f t="shared" ca="1" si="0"/>
        <v/>
      </c>
      <c r="J53" s="7"/>
    </row>
    <row r="54" spans="1:10" ht="20" customHeight="1" x14ac:dyDescent="0.45">
      <c r="A54" s="12" t="s">
        <v>28</v>
      </c>
      <c r="B54" s="7">
        <v>205001</v>
      </c>
      <c r="C54" s="6">
        <v>45922</v>
      </c>
      <c r="D54" s="6">
        <f>VLOOKUP($B54,contract_tasks!$B$2:$D$148,3,0)</f>
        <v>46203</v>
      </c>
      <c r="E54" s="7" t="s">
        <v>62</v>
      </c>
      <c r="F54" s="7" t="s">
        <v>62</v>
      </c>
      <c r="G54" s="7" t="s">
        <v>98</v>
      </c>
      <c r="H54" s="11" t="s">
        <v>104</v>
      </c>
      <c r="I54" s="16" t="str">
        <f t="shared" ca="1" si="0"/>
        <v/>
      </c>
      <c r="J54" s="7"/>
    </row>
    <row r="55" spans="1:10" ht="20" customHeight="1" x14ac:dyDescent="0.45">
      <c r="A55" s="12" t="s">
        <v>32</v>
      </c>
      <c r="B55" s="7">
        <v>206001</v>
      </c>
      <c r="C55" s="6">
        <v>45917</v>
      </c>
      <c r="D55" s="6">
        <f>VLOOKUP($B55,contract_tasks!$B$2:$D$148,3,0)</f>
        <v>46247</v>
      </c>
      <c r="E55" s="7" t="s">
        <v>62</v>
      </c>
      <c r="F55" s="7" t="s">
        <v>62</v>
      </c>
      <c r="G55" s="7" t="s">
        <v>72</v>
      </c>
      <c r="H55" s="7" t="s">
        <v>72</v>
      </c>
      <c r="I55" s="16" t="str">
        <f t="shared" ca="1" si="0"/>
        <v/>
      </c>
      <c r="J55" s="7"/>
    </row>
    <row r="56" spans="1:10" ht="20" customHeight="1" x14ac:dyDescent="0.45">
      <c r="A56" s="12" t="s">
        <v>4</v>
      </c>
      <c r="B56" s="7">
        <v>101001</v>
      </c>
      <c r="C56" s="6">
        <v>45915</v>
      </c>
      <c r="D56" s="6">
        <f>VLOOKUP($B56,contract_tasks!$B$2:$D$148,3,0)</f>
        <v>46022</v>
      </c>
      <c r="E56" s="7" t="s">
        <v>101</v>
      </c>
      <c r="F56" s="7" t="s">
        <v>76</v>
      </c>
      <c r="G56" s="7" t="s">
        <v>98</v>
      </c>
      <c r="H56" s="11" t="s">
        <v>104</v>
      </c>
      <c r="I56" s="16" t="str">
        <f t="shared" ca="1" si="0"/>
        <v/>
      </c>
      <c r="J56" s="7"/>
    </row>
    <row r="57" spans="1:10" ht="20" customHeight="1" x14ac:dyDescent="0.45">
      <c r="A57" s="12" t="s">
        <v>17</v>
      </c>
      <c r="B57" s="7">
        <v>108003</v>
      </c>
      <c r="C57" s="6">
        <v>45915</v>
      </c>
      <c r="D57" s="6">
        <f>VLOOKUP($B57,contract_tasks!$B$2:$D$148,3,0)</f>
        <v>46022</v>
      </c>
      <c r="E57" s="7" t="s">
        <v>62</v>
      </c>
      <c r="F57" s="7" t="s">
        <v>62</v>
      </c>
      <c r="G57" s="7" t="s">
        <v>98</v>
      </c>
      <c r="H57" s="11" t="s">
        <v>104</v>
      </c>
      <c r="I57" s="16" t="str">
        <f t="shared" ca="1" si="0"/>
        <v/>
      </c>
      <c r="J57" s="7"/>
    </row>
    <row r="58" spans="1:10" ht="20" customHeight="1" x14ac:dyDescent="0.45">
      <c r="A58" s="12" t="s">
        <v>18</v>
      </c>
      <c r="B58" s="7">
        <v>109001</v>
      </c>
      <c r="C58" s="6">
        <v>45915</v>
      </c>
      <c r="D58" s="6">
        <f>VLOOKUP($B58,contract_tasks!$B$2:$D$148,3,0)</f>
        <v>46216</v>
      </c>
      <c r="E58" s="7" t="s">
        <v>64</v>
      </c>
      <c r="F58" s="7" t="s">
        <v>81</v>
      </c>
      <c r="G58" s="7" t="s">
        <v>98</v>
      </c>
      <c r="H58" s="11" t="s">
        <v>104</v>
      </c>
      <c r="I58" s="16" t="str">
        <f t="shared" ca="1" si="0"/>
        <v/>
      </c>
      <c r="J58" s="7"/>
    </row>
    <row r="59" spans="1:10" ht="20" customHeight="1" x14ac:dyDescent="0.45">
      <c r="A59" s="12" t="s">
        <v>20</v>
      </c>
      <c r="B59" s="7">
        <v>110001</v>
      </c>
      <c r="C59" s="6">
        <v>45915</v>
      </c>
      <c r="D59" s="15">
        <v>45991</v>
      </c>
      <c r="E59" s="7" t="s">
        <v>64</v>
      </c>
      <c r="F59" s="7" t="s">
        <v>81</v>
      </c>
      <c r="G59" s="7" t="s">
        <v>98</v>
      </c>
      <c r="H59" s="11" t="s">
        <v>105</v>
      </c>
      <c r="I59" s="16" t="str">
        <f t="shared" ca="1" si="0"/>
        <v>Delayed</v>
      </c>
      <c r="J59" s="7"/>
    </row>
    <row r="60" spans="1:10" ht="20" customHeight="1" x14ac:dyDescent="0.45">
      <c r="A60" s="12" t="s">
        <v>25</v>
      </c>
      <c r="B60" s="7">
        <v>203001</v>
      </c>
      <c r="C60" s="6">
        <v>45915</v>
      </c>
      <c r="D60" s="15">
        <v>45991</v>
      </c>
      <c r="E60" s="7" t="s">
        <v>62</v>
      </c>
      <c r="F60" s="7" t="s">
        <v>62</v>
      </c>
      <c r="G60" s="7" t="s">
        <v>98</v>
      </c>
      <c r="H60" s="11" t="s">
        <v>105</v>
      </c>
      <c r="I60" s="16" t="str">
        <f t="shared" ca="1" si="0"/>
        <v>Delayed</v>
      </c>
      <c r="J60" s="7"/>
    </row>
    <row r="61" spans="1:10" ht="20" customHeight="1" x14ac:dyDescent="0.45">
      <c r="A61" s="12" t="s">
        <v>15</v>
      </c>
      <c r="B61" s="7">
        <v>107001</v>
      </c>
      <c r="C61" s="6">
        <v>45908</v>
      </c>
      <c r="D61" s="6">
        <f>VLOOKUP($B61,contract_tasks!$B$2:$D$148,3,0)</f>
        <v>46204</v>
      </c>
      <c r="E61" s="7" t="s">
        <v>63</v>
      </c>
      <c r="F61" s="7" t="s">
        <v>63</v>
      </c>
      <c r="G61" s="7" t="s">
        <v>98</v>
      </c>
      <c r="H61" s="11" t="s">
        <v>104</v>
      </c>
      <c r="I61" s="16" t="str">
        <f t="shared" ca="1" si="0"/>
        <v/>
      </c>
      <c r="J61" s="7"/>
    </row>
    <row r="62" spans="1:10" ht="20" customHeight="1" x14ac:dyDescent="0.45">
      <c r="A62" s="12" t="s">
        <v>17</v>
      </c>
      <c r="B62" s="7">
        <v>108003</v>
      </c>
      <c r="C62" s="6">
        <v>45908</v>
      </c>
      <c r="D62" s="6">
        <f>VLOOKUP($B62,contract_tasks!$B$2:$D$148,3,0)</f>
        <v>46022</v>
      </c>
      <c r="E62" s="7" t="s">
        <v>101</v>
      </c>
      <c r="F62" s="7" t="s">
        <v>82</v>
      </c>
      <c r="G62" s="7" t="s">
        <v>98</v>
      </c>
      <c r="H62" s="11" t="s">
        <v>104</v>
      </c>
      <c r="I62" s="16" t="str">
        <f t="shared" ca="1" si="0"/>
        <v/>
      </c>
      <c r="J62" s="7"/>
    </row>
    <row r="63" spans="1:10" ht="20" customHeight="1" x14ac:dyDescent="0.45">
      <c r="A63" s="12" t="s">
        <v>18</v>
      </c>
      <c r="B63" s="7">
        <v>109001</v>
      </c>
      <c r="C63" s="6">
        <v>45908</v>
      </c>
      <c r="D63" s="6">
        <f>VLOOKUP($B63,contract_tasks!$B$2:$D$148,3,0)</f>
        <v>46216</v>
      </c>
      <c r="E63" s="7" t="s">
        <v>64</v>
      </c>
      <c r="F63" s="7" t="s">
        <v>81</v>
      </c>
      <c r="G63" s="7" t="s">
        <v>98</v>
      </c>
      <c r="H63" s="11" t="s">
        <v>104</v>
      </c>
      <c r="I63" s="16" t="str">
        <f t="shared" ca="1" si="0"/>
        <v/>
      </c>
      <c r="J63" s="7"/>
    </row>
    <row r="64" spans="1:10" ht="20" customHeight="1" x14ac:dyDescent="0.45">
      <c r="A64" s="12" t="s">
        <v>10</v>
      </c>
      <c r="B64" s="7">
        <v>104001</v>
      </c>
      <c r="C64" s="6">
        <v>45901</v>
      </c>
      <c r="D64" s="6">
        <f>VLOOKUP($B64,contract_tasks!$B$2:$D$148,3,0)</f>
        <v>46204</v>
      </c>
      <c r="E64" s="7" t="s">
        <v>63</v>
      </c>
      <c r="F64" s="7" t="s">
        <v>63</v>
      </c>
      <c r="G64" s="7" t="s">
        <v>98</v>
      </c>
      <c r="H64" s="11" t="s">
        <v>104</v>
      </c>
      <c r="I64" s="16" t="str">
        <f t="shared" ca="1" si="0"/>
        <v/>
      </c>
      <c r="J64" s="7"/>
    </row>
    <row r="65" spans="1:10" ht="20" customHeight="1" x14ac:dyDescent="0.45">
      <c r="A65" s="12" t="s">
        <v>18</v>
      </c>
      <c r="B65" s="7">
        <v>109001</v>
      </c>
      <c r="C65" s="6">
        <v>46031</v>
      </c>
      <c r="D65" s="6">
        <f>VLOOKUP($B65,contract_tasks!$B$2:$D$148,3,0)</f>
        <v>46216</v>
      </c>
      <c r="E65" s="7" t="s">
        <v>63</v>
      </c>
      <c r="F65" s="7" t="s">
        <v>63</v>
      </c>
      <c r="G65" s="7" t="s">
        <v>72</v>
      </c>
      <c r="H65" s="7" t="s">
        <v>72</v>
      </c>
      <c r="I65" s="16" t="str">
        <f t="shared" ca="1" si="0"/>
        <v/>
      </c>
      <c r="J65" s="7"/>
    </row>
    <row r="66" spans="1:10" ht="20" customHeight="1" x14ac:dyDescent="0.45">
      <c r="A66" s="12" t="s">
        <v>27</v>
      </c>
      <c r="B66" s="7">
        <v>204001</v>
      </c>
      <c r="C66" s="6">
        <v>45901</v>
      </c>
      <c r="D66" s="6">
        <f>VLOOKUP($B66,contract_tasks!$B$2:$D$148,3,0)</f>
        <v>46231</v>
      </c>
      <c r="E66" s="7" t="s">
        <v>68</v>
      </c>
      <c r="F66" s="7" t="s">
        <v>68</v>
      </c>
      <c r="G66" s="7" t="s">
        <v>98</v>
      </c>
      <c r="H66" s="11" t="s">
        <v>104</v>
      </c>
      <c r="I66" s="16" t="str">
        <f t="shared" ca="1" si="0"/>
        <v/>
      </c>
      <c r="J66" s="7"/>
    </row>
    <row r="67" spans="1:10" ht="20" customHeight="1" x14ac:dyDescent="0.45">
      <c r="A67" s="12" t="s">
        <v>4</v>
      </c>
      <c r="B67" s="7">
        <v>101001</v>
      </c>
      <c r="C67" s="6">
        <v>45899</v>
      </c>
      <c r="D67" s="6">
        <f>VLOOKUP($B67,contract_tasks!$B$2:$D$148,3,0)</f>
        <v>46022</v>
      </c>
      <c r="E67" s="7" t="s">
        <v>62</v>
      </c>
      <c r="F67" s="7" t="s">
        <v>85</v>
      </c>
      <c r="G67" s="7" t="s">
        <v>72</v>
      </c>
      <c r="H67" s="7" t="s">
        <v>72</v>
      </c>
      <c r="I67" s="16" t="str">
        <f t="shared" ref="I67:I127" ca="1" si="1">IF(H67="Done", "", IF(TODAY() &gt;= EDATE(D67, -1), IF(TODAY() &gt; C67, "Delayed", "Warning"), ""))</f>
        <v/>
      </c>
      <c r="J67" s="7"/>
    </row>
    <row r="68" spans="1:10" ht="20" customHeight="1" x14ac:dyDescent="0.45">
      <c r="A68" s="12" t="s">
        <v>15</v>
      </c>
      <c r="B68" s="7">
        <v>107001</v>
      </c>
      <c r="C68" s="6">
        <v>45899</v>
      </c>
      <c r="D68" s="6">
        <f>VLOOKUP($B68,contract_tasks!$B$2:$D$148,3,0)</f>
        <v>46204</v>
      </c>
      <c r="E68" s="7" t="s">
        <v>62</v>
      </c>
      <c r="F68" s="7" t="s">
        <v>62</v>
      </c>
      <c r="G68" s="7" t="s">
        <v>72</v>
      </c>
      <c r="H68" s="7" t="s">
        <v>72</v>
      </c>
      <c r="I68" s="16" t="str">
        <f t="shared" ca="1" si="1"/>
        <v/>
      </c>
      <c r="J68" s="7"/>
    </row>
    <row r="69" spans="1:10" ht="20" customHeight="1" x14ac:dyDescent="0.45">
      <c r="A69" s="12" t="s">
        <v>19</v>
      </c>
      <c r="B69" s="7">
        <v>109002</v>
      </c>
      <c r="C69" s="6">
        <v>45899</v>
      </c>
      <c r="D69" s="6">
        <f>VLOOKUP($B69,contract_tasks!$B$2:$D$148,3,0)</f>
        <v>46216</v>
      </c>
      <c r="E69" s="7" t="s">
        <v>62</v>
      </c>
      <c r="F69" s="7" t="s">
        <v>85</v>
      </c>
      <c r="G69" s="7" t="s">
        <v>72</v>
      </c>
      <c r="H69" s="7" t="s">
        <v>72</v>
      </c>
      <c r="I69" s="16" t="str">
        <f t="shared" ca="1" si="1"/>
        <v/>
      </c>
      <c r="J69" s="7"/>
    </row>
    <row r="70" spans="1:10" ht="20" customHeight="1" x14ac:dyDescent="0.45">
      <c r="A70" s="12" t="s">
        <v>5</v>
      </c>
      <c r="B70" s="7">
        <v>102001</v>
      </c>
      <c r="C70" s="6">
        <v>45898</v>
      </c>
      <c r="D70" s="6">
        <f>VLOOKUP($B70,contract_tasks!$B$2:$D$148,3,0)</f>
        <v>46022</v>
      </c>
      <c r="E70" s="7" t="s">
        <v>102</v>
      </c>
      <c r="F70" s="7" t="s">
        <v>86</v>
      </c>
      <c r="G70" s="7" t="s">
        <v>72</v>
      </c>
      <c r="H70" s="7" t="s">
        <v>72</v>
      </c>
      <c r="I70" s="16" t="str">
        <f t="shared" ca="1" si="1"/>
        <v/>
      </c>
      <c r="J70" s="7"/>
    </row>
    <row r="71" spans="1:10" ht="20" customHeight="1" x14ac:dyDescent="0.45">
      <c r="A71" s="12" t="s">
        <v>15</v>
      </c>
      <c r="B71" s="7">
        <v>107001</v>
      </c>
      <c r="C71" s="6">
        <v>45898</v>
      </c>
      <c r="D71" s="6">
        <f>VLOOKUP($B71,contract_tasks!$B$2:$D$148,3,0)</f>
        <v>46204</v>
      </c>
      <c r="E71" s="7" t="s">
        <v>64</v>
      </c>
      <c r="F71" s="7" t="s">
        <v>78</v>
      </c>
      <c r="G71" s="7" t="s">
        <v>98</v>
      </c>
      <c r="H71" s="11" t="s">
        <v>104</v>
      </c>
      <c r="I71" s="16" t="str">
        <f t="shared" ca="1" si="1"/>
        <v/>
      </c>
      <c r="J71" s="7"/>
    </row>
    <row r="72" spans="1:10" ht="20" customHeight="1" x14ac:dyDescent="0.45">
      <c r="A72" s="12" t="s">
        <v>20</v>
      </c>
      <c r="B72" s="7">
        <v>110001</v>
      </c>
      <c r="C72" s="6">
        <v>45898</v>
      </c>
      <c r="D72" s="15">
        <v>45991</v>
      </c>
      <c r="E72" s="7" t="s">
        <v>101</v>
      </c>
      <c r="F72" s="7" t="s">
        <v>77</v>
      </c>
      <c r="G72" s="7" t="s">
        <v>98</v>
      </c>
      <c r="H72" s="11" t="s">
        <v>105</v>
      </c>
      <c r="I72" s="16" t="str">
        <f t="shared" ca="1" si="1"/>
        <v>Delayed</v>
      </c>
      <c r="J72" s="7"/>
    </row>
    <row r="73" spans="1:10" ht="20" customHeight="1" x14ac:dyDescent="0.45">
      <c r="A73" s="12" t="s">
        <v>28</v>
      </c>
      <c r="B73" s="7">
        <v>205001</v>
      </c>
      <c r="C73" s="6">
        <v>45898</v>
      </c>
      <c r="D73" s="6">
        <f>VLOOKUP($B73,contract_tasks!$B$2:$D$148,3,0)</f>
        <v>46203</v>
      </c>
      <c r="E73" s="7" t="s">
        <v>101</v>
      </c>
      <c r="F73" s="7" t="s">
        <v>77</v>
      </c>
      <c r="G73" s="7" t="s">
        <v>98</v>
      </c>
      <c r="H73" s="11" t="s">
        <v>104</v>
      </c>
      <c r="I73" s="16" t="str">
        <f t="shared" ca="1" si="1"/>
        <v/>
      </c>
      <c r="J73" s="7"/>
    </row>
    <row r="74" spans="1:10" ht="20" customHeight="1" x14ac:dyDescent="0.45">
      <c r="A74" s="12" t="s">
        <v>4</v>
      </c>
      <c r="B74" s="7">
        <v>101001</v>
      </c>
      <c r="C74" s="6">
        <v>45891</v>
      </c>
      <c r="D74" s="6">
        <f>VLOOKUP($B74,contract_tasks!$B$2:$D$148,3,0)</f>
        <v>46022</v>
      </c>
      <c r="E74" s="7" t="s">
        <v>66</v>
      </c>
      <c r="F74" s="7" t="s">
        <v>75</v>
      </c>
      <c r="G74" s="7" t="s">
        <v>98</v>
      </c>
      <c r="H74" s="11" t="s">
        <v>104</v>
      </c>
      <c r="I74" s="16" t="str">
        <f t="shared" ca="1" si="1"/>
        <v/>
      </c>
      <c r="J74" s="7"/>
    </row>
    <row r="75" spans="1:10" ht="20" customHeight="1" x14ac:dyDescent="0.45">
      <c r="A75" s="12" t="s">
        <v>19</v>
      </c>
      <c r="B75" s="7">
        <v>109002</v>
      </c>
      <c r="C75" s="6">
        <v>45891</v>
      </c>
      <c r="D75" s="6">
        <f>VLOOKUP($B75,contract_tasks!$B$2:$D$148,3,0)</f>
        <v>46216</v>
      </c>
      <c r="E75" s="7" t="s">
        <v>62</v>
      </c>
      <c r="F75" s="7" t="s">
        <v>62</v>
      </c>
      <c r="G75" s="7" t="s">
        <v>98</v>
      </c>
      <c r="H75" s="11" t="s">
        <v>104</v>
      </c>
      <c r="I75" s="16" t="str">
        <f t="shared" ca="1" si="1"/>
        <v/>
      </c>
      <c r="J75" s="7"/>
    </row>
    <row r="76" spans="1:10" ht="20" customHeight="1" x14ac:dyDescent="0.45">
      <c r="A76" s="12" t="s">
        <v>28</v>
      </c>
      <c r="B76" s="7">
        <v>205001</v>
      </c>
      <c r="C76" s="6">
        <v>45891</v>
      </c>
      <c r="D76" s="6">
        <f>VLOOKUP($B76,contract_tasks!$B$2:$D$148,3,0)</f>
        <v>46203</v>
      </c>
      <c r="E76" s="7" t="s">
        <v>64</v>
      </c>
      <c r="F76" s="7" t="s">
        <v>78</v>
      </c>
      <c r="G76" s="7" t="s">
        <v>98</v>
      </c>
      <c r="H76" s="11" t="s">
        <v>104</v>
      </c>
      <c r="I76" s="16" t="str">
        <f t="shared" ca="1" si="1"/>
        <v/>
      </c>
      <c r="J76" s="7"/>
    </row>
    <row r="77" spans="1:10" ht="20" customHeight="1" x14ac:dyDescent="0.45">
      <c r="A77" s="12" t="s">
        <v>15</v>
      </c>
      <c r="B77" s="7">
        <v>107001</v>
      </c>
      <c r="C77" s="6">
        <v>45884</v>
      </c>
      <c r="D77" s="6">
        <f>VLOOKUP($B77,contract_tasks!$B$2:$D$148,3,0)</f>
        <v>46204</v>
      </c>
      <c r="E77" s="7" t="s">
        <v>62</v>
      </c>
      <c r="F77" s="7" t="s">
        <v>62</v>
      </c>
      <c r="G77" s="7" t="s">
        <v>98</v>
      </c>
      <c r="H77" s="11" t="s">
        <v>104</v>
      </c>
      <c r="I77" s="16" t="str">
        <f t="shared" ca="1" si="1"/>
        <v/>
      </c>
      <c r="J77" s="7"/>
    </row>
    <row r="78" spans="1:10" ht="20" customHeight="1" x14ac:dyDescent="0.45">
      <c r="A78" s="12" t="s">
        <v>27</v>
      </c>
      <c r="B78" s="7">
        <v>204001</v>
      </c>
      <c r="C78" s="6">
        <v>45884</v>
      </c>
      <c r="D78" s="6">
        <f>VLOOKUP($B78,contract_tasks!$B$2:$D$148,3,0)</f>
        <v>46231</v>
      </c>
      <c r="E78" s="7" t="s">
        <v>62</v>
      </c>
      <c r="F78" s="7" t="s">
        <v>62</v>
      </c>
      <c r="G78" s="7" t="s">
        <v>98</v>
      </c>
      <c r="H78" s="11" t="s">
        <v>104</v>
      </c>
      <c r="I78" s="16" t="str">
        <f t="shared" ca="1" si="1"/>
        <v/>
      </c>
      <c r="J78" s="7"/>
    </row>
    <row r="79" spans="1:10" ht="20" customHeight="1" x14ac:dyDescent="0.45">
      <c r="A79" s="12" t="s">
        <v>29</v>
      </c>
      <c r="B79" s="7">
        <v>301001</v>
      </c>
      <c r="C79" s="6">
        <v>45884</v>
      </c>
      <c r="D79" s="6">
        <f>VLOOKUP($B79,contract_tasks!$B$2:$D$148,3,0)</f>
        <v>46022</v>
      </c>
      <c r="E79" s="7" t="s">
        <v>63</v>
      </c>
      <c r="F79" s="7" t="s">
        <v>63</v>
      </c>
      <c r="G79" s="7" t="s">
        <v>98</v>
      </c>
      <c r="H79" s="11" t="s">
        <v>104</v>
      </c>
      <c r="I79" s="16" t="str">
        <f t="shared" ca="1" si="1"/>
        <v/>
      </c>
      <c r="J79" s="7"/>
    </row>
    <row r="80" spans="1:10" ht="20" customHeight="1" x14ac:dyDescent="0.45">
      <c r="A80" s="12" t="s">
        <v>30</v>
      </c>
      <c r="B80" s="7">
        <v>301002</v>
      </c>
      <c r="C80" s="6">
        <v>45884</v>
      </c>
      <c r="D80" s="6">
        <f>VLOOKUP($B80,contract_tasks!$B$2:$D$148,3,0)</f>
        <v>46022</v>
      </c>
      <c r="E80" s="7" t="s">
        <v>63</v>
      </c>
      <c r="F80" s="7" t="s">
        <v>63</v>
      </c>
      <c r="G80" s="7" t="s">
        <v>98</v>
      </c>
      <c r="H80" s="11" t="s">
        <v>104</v>
      </c>
      <c r="I80" s="16" t="str">
        <f t="shared" ca="1" si="1"/>
        <v/>
      </c>
      <c r="J80" s="7"/>
    </row>
    <row r="81" spans="1:10" ht="20" customHeight="1" x14ac:dyDescent="0.45">
      <c r="A81" s="12" t="s">
        <v>73</v>
      </c>
      <c r="B81" s="7">
        <v>301003</v>
      </c>
      <c r="C81" s="6">
        <v>45884</v>
      </c>
      <c r="D81" s="6">
        <f>VLOOKUP($B81,contract_tasks!$B$2:$D$148,3,0)</f>
        <v>46022</v>
      </c>
      <c r="E81" s="7" t="s">
        <v>63</v>
      </c>
      <c r="F81" s="7" t="s">
        <v>63</v>
      </c>
      <c r="G81" s="7" t="s">
        <v>98</v>
      </c>
      <c r="H81" s="11" t="s">
        <v>104</v>
      </c>
      <c r="I81" s="16" t="str">
        <f t="shared" ca="1" si="1"/>
        <v/>
      </c>
      <c r="J81" s="7"/>
    </row>
    <row r="82" spans="1:10" ht="20" customHeight="1" x14ac:dyDescent="0.45">
      <c r="A82" s="12" t="s">
        <v>10</v>
      </c>
      <c r="B82" s="7">
        <v>104001</v>
      </c>
      <c r="C82" s="6">
        <v>45877</v>
      </c>
      <c r="D82" s="6">
        <f>VLOOKUP($B82,contract_tasks!$B$2:$D$148,3,0)</f>
        <v>46204</v>
      </c>
      <c r="E82" s="7" t="s">
        <v>66</v>
      </c>
      <c r="F82" s="7" t="s">
        <v>75</v>
      </c>
      <c r="G82" s="7" t="s">
        <v>98</v>
      </c>
      <c r="H82" s="11" t="s">
        <v>104</v>
      </c>
      <c r="I82" s="16" t="str">
        <f t="shared" ca="1" si="1"/>
        <v/>
      </c>
      <c r="J82" s="7"/>
    </row>
    <row r="83" spans="1:10" ht="20" customHeight="1" x14ac:dyDescent="0.45">
      <c r="A83" s="12" t="s">
        <v>15</v>
      </c>
      <c r="B83" s="7">
        <v>107001</v>
      </c>
      <c r="C83" s="6">
        <v>45877</v>
      </c>
      <c r="D83" s="6">
        <f>VLOOKUP($B83,contract_tasks!$B$2:$D$148,3,0)</f>
        <v>46204</v>
      </c>
      <c r="E83" s="7" t="s">
        <v>66</v>
      </c>
      <c r="F83" s="7" t="s">
        <v>75</v>
      </c>
      <c r="G83" s="7" t="s">
        <v>98</v>
      </c>
      <c r="H83" s="11" t="s">
        <v>104</v>
      </c>
      <c r="I83" s="16" t="str">
        <f t="shared" ca="1" si="1"/>
        <v/>
      </c>
      <c r="J83" s="7"/>
    </row>
    <row r="84" spans="1:10" ht="20" customHeight="1" x14ac:dyDescent="0.45">
      <c r="A84" s="12" t="s">
        <v>29</v>
      </c>
      <c r="B84" s="7">
        <v>301001</v>
      </c>
      <c r="C84" s="6">
        <v>45877</v>
      </c>
      <c r="D84" s="6">
        <f>VLOOKUP($B84,contract_tasks!$B$2:$D$148,3,0)</f>
        <v>46022</v>
      </c>
      <c r="E84" s="7" t="s">
        <v>62</v>
      </c>
      <c r="F84" s="7" t="s">
        <v>62</v>
      </c>
      <c r="G84" s="7" t="s">
        <v>98</v>
      </c>
      <c r="H84" s="11" t="s">
        <v>104</v>
      </c>
      <c r="I84" s="16" t="str">
        <f t="shared" ca="1" si="1"/>
        <v/>
      </c>
      <c r="J84" s="7"/>
    </row>
    <row r="85" spans="1:10" ht="20" customHeight="1" x14ac:dyDescent="0.45">
      <c r="A85" s="12" t="s">
        <v>30</v>
      </c>
      <c r="B85" s="7">
        <v>301002</v>
      </c>
      <c r="C85" s="6">
        <v>45877</v>
      </c>
      <c r="D85" s="6">
        <f>VLOOKUP($B85,contract_tasks!$B$2:$D$148,3,0)</f>
        <v>46022</v>
      </c>
      <c r="E85" s="7" t="s">
        <v>62</v>
      </c>
      <c r="F85" s="7" t="s">
        <v>62</v>
      </c>
      <c r="G85" s="7" t="s">
        <v>98</v>
      </c>
      <c r="H85" s="11" t="s">
        <v>104</v>
      </c>
      <c r="I85" s="16" t="str">
        <f t="shared" ca="1" si="1"/>
        <v/>
      </c>
      <c r="J85" s="7"/>
    </row>
    <row r="86" spans="1:10" ht="20" customHeight="1" x14ac:dyDescent="0.45">
      <c r="A86" s="12" t="s">
        <v>73</v>
      </c>
      <c r="B86" s="7">
        <v>301003</v>
      </c>
      <c r="C86" s="6">
        <v>45877</v>
      </c>
      <c r="D86" s="6">
        <f>VLOOKUP($B86,contract_tasks!$B$2:$D$148,3,0)</f>
        <v>46022</v>
      </c>
      <c r="E86" s="7" t="s">
        <v>62</v>
      </c>
      <c r="F86" s="7" t="s">
        <v>62</v>
      </c>
      <c r="G86" s="7" t="s">
        <v>98</v>
      </c>
      <c r="H86" s="11" t="s">
        <v>104</v>
      </c>
      <c r="I86" s="16" t="str">
        <f t="shared" ca="1" si="1"/>
        <v/>
      </c>
      <c r="J86" s="7"/>
    </row>
    <row r="87" spans="1:10" ht="20" customHeight="1" x14ac:dyDescent="0.45">
      <c r="A87" s="12" t="s">
        <v>24</v>
      </c>
      <c r="B87" s="7">
        <v>202001</v>
      </c>
      <c r="C87" s="6">
        <v>46031</v>
      </c>
      <c r="D87" s="6">
        <f>VLOOKUP($B87,contract_tasks!$B$2:$D$148,3,0)</f>
        <v>46022</v>
      </c>
      <c r="E87" s="7" t="s">
        <v>62</v>
      </c>
      <c r="F87" s="7" t="s">
        <v>62</v>
      </c>
      <c r="G87" s="7" t="s">
        <v>72</v>
      </c>
      <c r="H87" s="7" t="s">
        <v>72</v>
      </c>
      <c r="I87" s="16" t="str">
        <f t="shared" ca="1" si="1"/>
        <v/>
      </c>
      <c r="J87" s="7"/>
    </row>
    <row r="88" spans="1:10" ht="20" customHeight="1" x14ac:dyDescent="0.45">
      <c r="A88" s="12" t="s">
        <v>6</v>
      </c>
      <c r="B88" s="7">
        <v>103001</v>
      </c>
      <c r="C88" s="6">
        <v>45870</v>
      </c>
      <c r="D88" s="6">
        <f>VLOOKUP($B88,contract_tasks!$B$2:$D$148,3,0)</f>
        <v>46022</v>
      </c>
      <c r="E88" s="7" t="s">
        <v>66</v>
      </c>
      <c r="F88" s="7" t="s">
        <v>75</v>
      </c>
      <c r="G88" s="7" t="s">
        <v>98</v>
      </c>
      <c r="H88" s="11" t="s">
        <v>104</v>
      </c>
      <c r="I88" s="16" t="str">
        <f t="shared" ca="1" si="1"/>
        <v/>
      </c>
      <c r="J88" s="7"/>
    </row>
    <row r="89" spans="1:10" ht="20" customHeight="1" x14ac:dyDescent="0.45">
      <c r="A89" s="12" t="s">
        <v>21</v>
      </c>
      <c r="B89" s="7">
        <v>111001</v>
      </c>
      <c r="C89" s="6">
        <v>45870</v>
      </c>
      <c r="D89" s="6">
        <f>VLOOKUP($B89,contract_tasks!$B$2:$D$148,3,0)</f>
        <v>46088</v>
      </c>
      <c r="E89" s="7" t="s">
        <v>66</v>
      </c>
      <c r="F89" s="7" t="s">
        <v>75</v>
      </c>
      <c r="G89" s="7" t="s">
        <v>98</v>
      </c>
      <c r="H89" s="11" t="s">
        <v>104</v>
      </c>
      <c r="I89" s="16" t="str">
        <f t="shared" ca="1" si="1"/>
        <v/>
      </c>
      <c r="J89" s="7"/>
    </row>
    <row r="90" spans="1:10" ht="20" customHeight="1" x14ac:dyDescent="0.45">
      <c r="A90" s="12" t="s">
        <v>14</v>
      </c>
      <c r="B90" s="7">
        <v>106001</v>
      </c>
      <c r="C90" s="6">
        <v>45860</v>
      </c>
      <c r="D90" s="6">
        <f>VLOOKUP($B90,contract_tasks!$B$2:$D$148,3,0)</f>
        <v>46022</v>
      </c>
      <c r="E90" s="7" t="s">
        <v>66</v>
      </c>
      <c r="F90" s="7" t="s">
        <v>75</v>
      </c>
      <c r="G90" s="7" t="s">
        <v>98</v>
      </c>
      <c r="H90" s="11" t="s">
        <v>104</v>
      </c>
      <c r="I90" s="16" t="str">
        <f t="shared" ca="1" si="1"/>
        <v/>
      </c>
      <c r="J90" s="7"/>
    </row>
    <row r="91" spans="1:10" ht="20" customHeight="1" x14ac:dyDescent="0.45">
      <c r="A91" s="12" t="s">
        <v>18</v>
      </c>
      <c r="B91" s="7">
        <v>109001</v>
      </c>
      <c r="C91" s="6">
        <v>45860</v>
      </c>
      <c r="D91" s="6">
        <f>VLOOKUP($B91,contract_tasks!$B$2:$D$148,3,0)</f>
        <v>46216</v>
      </c>
      <c r="E91" s="7" t="s">
        <v>66</v>
      </c>
      <c r="F91" s="7" t="s">
        <v>74</v>
      </c>
      <c r="G91" s="7" t="s">
        <v>98</v>
      </c>
      <c r="H91" s="11" t="s">
        <v>104</v>
      </c>
      <c r="I91" s="16" t="str">
        <f t="shared" ca="1" si="1"/>
        <v/>
      </c>
      <c r="J91" s="7"/>
    </row>
    <row r="92" spans="1:10" ht="20" customHeight="1" x14ac:dyDescent="0.45">
      <c r="A92" s="12" t="s">
        <v>19</v>
      </c>
      <c r="B92" s="7">
        <v>109002</v>
      </c>
      <c r="C92" s="6">
        <v>45860</v>
      </c>
      <c r="D92" s="6">
        <f>VLOOKUP($B92,contract_tasks!$B$2:$D$148,3,0)</f>
        <v>46216</v>
      </c>
      <c r="E92" s="7" t="s">
        <v>66</v>
      </c>
      <c r="F92" s="7" t="s">
        <v>74</v>
      </c>
      <c r="G92" s="7" t="s">
        <v>98</v>
      </c>
      <c r="H92" s="11" t="s">
        <v>104</v>
      </c>
      <c r="I92" s="16" t="str">
        <f t="shared" ca="1" si="1"/>
        <v/>
      </c>
      <c r="J92" s="7"/>
    </row>
    <row r="93" spans="1:10" ht="20" customHeight="1" x14ac:dyDescent="0.45">
      <c r="A93" s="12" t="s">
        <v>28</v>
      </c>
      <c r="B93" s="7">
        <v>205001</v>
      </c>
      <c r="C93" s="6">
        <v>45860</v>
      </c>
      <c r="D93" s="6">
        <f>VLOOKUP($B93,contract_tasks!$B$2:$D$148,3,0)</f>
        <v>46203</v>
      </c>
      <c r="E93" s="7" t="s">
        <v>66</v>
      </c>
      <c r="F93" s="7" t="s">
        <v>74</v>
      </c>
      <c r="G93" s="7" t="s">
        <v>98</v>
      </c>
      <c r="H93" s="11" t="s">
        <v>104</v>
      </c>
      <c r="I93" s="16" t="str">
        <f t="shared" ca="1" si="1"/>
        <v/>
      </c>
      <c r="J93" s="7"/>
    </row>
    <row r="94" spans="1:10" ht="20" customHeight="1" x14ac:dyDescent="0.45">
      <c r="A94" s="12" t="s">
        <v>15</v>
      </c>
      <c r="B94" s="7">
        <v>107001</v>
      </c>
      <c r="C94" s="6">
        <v>45853</v>
      </c>
      <c r="D94" s="6">
        <f>VLOOKUP($B94,contract_tasks!$B$2:$D$148,3,0)</f>
        <v>46204</v>
      </c>
      <c r="E94" s="7" t="s">
        <v>101</v>
      </c>
      <c r="F94" s="7" t="s">
        <v>77</v>
      </c>
      <c r="G94" s="7" t="s">
        <v>98</v>
      </c>
      <c r="H94" s="11" t="s">
        <v>104</v>
      </c>
      <c r="I94" s="16" t="str">
        <f t="shared" ca="1" si="1"/>
        <v/>
      </c>
      <c r="J94" s="7"/>
    </row>
    <row r="95" spans="1:10" ht="20" customHeight="1" x14ac:dyDescent="0.45">
      <c r="A95" s="12" t="s">
        <v>17</v>
      </c>
      <c r="B95" s="7">
        <v>108003</v>
      </c>
      <c r="C95" s="6">
        <v>45853</v>
      </c>
      <c r="D95" s="6">
        <f>VLOOKUP($B95,contract_tasks!$B$2:$D$148,3,0)</f>
        <v>46022</v>
      </c>
      <c r="E95" s="7" t="s">
        <v>101</v>
      </c>
      <c r="F95" s="7" t="s">
        <v>77</v>
      </c>
      <c r="G95" s="7" t="s">
        <v>98</v>
      </c>
      <c r="H95" s="11" t="s">
        <v>104</v>
      </c>
      <c r="I95" s="16" t="str">
        <f t="shared" ca="1" si="1"/>
        <v/>
      </c>
      <c r="J95" s="7"/>
    </row>
    <row r="96" spans="1:10" ht="20" customHeight="1" x14ac:dyDescent="0.45">
      <c r="A96" s="12" t="s">
        <v>21</v>
      </c>
      <c r="B96" s="7">
        <v>111001</v>
      </c>
      <c r="C96" s="6">
        <v>45846</v>
      </c>
      <c r="D96" s="6">
        <f>VLOOKUP($B96,contract_tasks!$B$2:$D$148,3,0)</f>
        <v>46088</v>
      </c>
      <c r="E96" s="7" t="s">
        <v>68</v>
      </c>
      <c r="F96" s="7" t="s">
        <v>84</v>
      </c>
      <c r="G96" s="7" t="s">
        <v>98</v>
      </c>
      <c r="H96" s="11" t="s">
        <v>104</v>
      </c>
      <c r="I96" s="16" t="str">
        <f t="shared" ca="1" si="1"/>
        <v/>
      </c>
      <c r="J96" s="7"/>
    </row>
    <row r="97" spans="1:10" ht="20" customHeight="1" x14ac:dyDescent="0.45">
      <c r="A97" s="12" t="s">
        <v>4</v>
      </c>
      <c r="B97" s="7">
        <v>101001</v>
      </c>
      <c r="C97" s="6">
        <v>45839</v>
      </c>
      <c r="D97" s="6">
        <f>VLOOKUP($B97,contract_tasks!$B$2:$D$148,3,0)</f>
        <v>46022</v>
      </c>
      <c r="E97" s="7" t="s">
        <v>66</v>
      </c>
      <c r="F97" s="7" t="s">
        <v>74</v>
      </c>
      <c r="G97" s="7" t="s">
        <v>98</v>
      </c>
      <c r="H97" s="11" t="s">
        <v>104</v>
      </c>
      <c r="I97" s="16" t="str">
        <f t="shared" ca="1" si="1"/>
        <v/>
      </c>
      <c r="J97" s="7"/>
    </row>
    <row r="98" spans="1:10" ht="20" customHeight="1" x14ac:dyDescent="0.45">
      <c r="A98" s="12" t="s">
        <v>9</v>
      </c>
      <c r="B98" s="7">
        <v>103004</v>
      </c>
      <c r="C98" s="6">
        <v>45839</v>
      </c>
      <c r="D98" s="6">
        <f>VLOOKUP($B98,contract_tasks!$B$2:$D$148,3,0)</f>
        <v>46022</v>
      </c>
      <c r="E98" s="7" t="s">
        <v>66</v>
      </c>
      <c r="F98" s="7" t="s">
        <v>74</v>
      </c>
      <c r="G98" s="7" t="s">
        <v>98</v>
      </c>
      <c r="H98" s="11" t="s">
        <v>104</v>
      </c>
      <c r="I98" s="16" t="str">
        <f t="shared" ca="1" si="1"/>
        <v/>
      </c>
      <c r="J98" s="7"/>
    </row>
    <row r="99" spans="1:10" ht="20" customHeight="1" x14ac:dyDescent="0.45">
      <c r="A99" s="12" t="s">
        <v>13</v>
      </c>
      <c r="B99" s="7">
        <v>105001</v>
      </c>
      <c r="C99" s="6">
        <v>45837</v>
      </c>
      <c r="D99" s="15">
        <v>45991</v>
      </c>
      <c r="E99" s="7" t="s">
        <v>101</v>
      </c>
      <c r="F99" s="7" t="s">
        <v>77</v>
      </c>
      <c r="G99" s="7" t="s">
        <v>98</v>
      </c>
      <c r="H99" s="11" t="s">
        <v>105</v>
      </c>
      <c r="I99" s="16" t="str">
        <f t="shared" ca="1" si="1"/>
        <v>Delayed</v>
      </c>
      <c r="J99" s="7"/>
    </row>
    <row r="100" spans="1:10" ht="20" customHeight="1" x14ac:dyDescent="0.45">
      <c r="A100" s="12" t="s">
        <v>14</v>
      </c>
      <c r="B100" s="7">
        <v>106001</v>
      </c>
      <c r="C100" s="6">
        <v>45837</v>
      </c>
      <c r="D100" s="6">
        <f>VLOOKUP($B100,contract_tasks!$B$2:$D$148,3,0)</f>
        <v>46022</v>
      </c>
      <c r="E100" s="7" t="s">
        <v>101</v>
      </c>
      <c r="F100" s="7" t="s">
        <v>77</v>
      </c>
      <c r="G100" s="7" t="s">
        <v>98</v>
      </c>
      <c r="H100" s="11" t="s">
        <v>104</v>
      </c>
      <c r="I100" s="16" t="str">
        <f t="shared" ca="1" si="1"/>
        <v/>
      </c>
      <c r="J100" s="7"/>
    </row>
    <row r="101" spans="1:10" ht="20" customHeight="1" x14ac:dyDescent="0.45">
      <c r="A101" s="12" t="s">
        <v>26</v>
      </c>
      <c r="B101" s="7">
        <v>203002</v>
      </c>
      <c r="C101" s="6">
        <v>45806</v>
      </c>
      <c r="D101" s="6">
        <f>VLOOKUP($B101,contract_tasks!$B$2:$D$148,3,0)</f>
        <v>46022</v>
      </c>
      <c r="E101" s="7" t="s">
        <v>62</v>
      </c>
      <c r="F101" s="7" t="s">
        <v>62</v>
      </c>
      <c r="G101" s="7" t="s">
        <v>98</v>
      </c>
      <c r="H101" s="11" t="s">
        <v>104</v>
      </c>
      <c r="I101" s="16" t="str">
        <f t="shared" ca="1" si="1"/>
        <v/>
      </c>
      <c r="J101" s="7"/>
    </row>
    <row r="102" spans="1:10" ht="20" customHeight="1" x14ac:dyDescent="0.45">
      <c r="A102" s="12" t="s">
        <v>29</v>
      </c>
      <c r="B102" s="7">
        <v>301001</v>
      </c>
      <c r="C102" s="6">
        <v>45806</v>
      </c>
      <c r="D102" s="6">
        <f>VLOOKUP($B102,contract_tasks!$B$2:$D$148,3,0)</f>
        <v>46022</v>
      </c>
      <c r="E102" s="7" t="s">
        <v>62</v>
      </c>
      <c r="F102" s="7" t="s">
        <v>62</v>
      </c>
      <c r="G102" s="7" t="s">
        <v>98</v>
      </c>
      <c r="H102" s="11" t="s">
        <v>104</v>
      </c>
      <c r="I102" s="16" t="str">
        <f t="shared" ca="1" si="1"/>
        <v/>
      </c>
      <c r="J102" s="7"/>
    </row>
    <row r="103" spans="1:10" ht="20" customHeight="1" x14ac:dyDescent="0.45">
      <c r="A103" s="12" t="s">
        <v>73</v>
      </c>
      <c r="B103" s="7">
        <v>301003</v>
      </c>
      <c r="C103" s="6">
        <v>45806</v>
      </c>
      <c r="D103" s="6">
        <f>VLOOKUP($B103,contract_tasks!$B$2:$D$148,3,0)</f>
        <v>46022</v>
      </c>
      <c r="E103" s="7" t="s">
        <v>68</v>
      </c>
      <c r="F103" s="7" t="s">
        <v>84</v>
      </c>
      <c r="G103" s="7" t="s">
        <v>98</v>
      </c>
      <c r="H103" s="11" t="s">
        <v>104</v>
      </c>
      <c r="I103" s="16" t="str">
        <f t="shared" ca="1" si="1"/>
        <v/>
      </c>
      <c r="J103" s="7"/>
    </row>
    <row r="104" spans="1:10" ht="20" customHeight="1" x14ac:dyDescent="0.45">
      <c r="A104" s="12" t="s">
        <v>5</v>
      </c>
      <c r="B104" s="7">
        <v>102001</v>
      </c>
      <c r="C104" s="6">
        <v>45799</v>
      </c>
      <c r="D104" s="6">
        <f>VLOOKUP($B104,contract_tasks!$B$2:$D$148,3,0)</f>
        <v>46022</v>
      </c>
      <c r="E104" s="7" t="s">
        <v>62</v>
      </c>
      <c r="F104" s="7" t="s">
        <v>62</v>
      </c>
      <c r="G104" s="7" t="s">
        <v>98</v>
      </c>
      <c r="H104" s="11" t="s">
        <v>104</v>
      </c>
      <c r="I104" s="16" t="str">
        <f t="shared" ca="1" si="1"/>
        <v/>
      </c>
      <c r="J104" s="7"/>
    </row>
    <row r="105" spans="1:10" ht="20" customHeight="1" x14ac:dyDescent="0.45">
      <c r="A105" s="12" t="s">
        <v>6</v>
      </c>
      <c r="B105" s="7">
        <v>103001</v>
      </c>
      <c r="C105" s="6">
        <v>45799</v>
      </c>
      <c r="D105" s="6">
        <f>VLOOKUP($B105,contract_tasks!$B$2:$D$148,3,0)</f>
        <v>46022</v>
      </c>
      <c r="E105" s="7" t="s">
        <v>101</v>
      </c>
      <c r="F105" s="7" t="s">
        <v>79</v>
      </c>
      <c r="G105" s="7" t="s">
        <v>98</v>
      </c>
      <c r="H105" s="11" t="s">
        <v>104</v>
      </c>
      <c r="I105" s="16" t="str">
        <f t="shared" ca="1" si="1"/>
        <v/>
      </c>
      <c r="J105" s="7"/>
    </row>
    <row r="106" spans="1:10" ht="20" customHeight="1" x14ac:dyDescent="0.45">
      <c r="A106" s="12" t="s">
        <v>4</v>
      </c>
      <c r="B106" s="7">
        <v>101001</v>
      </c>
      <c r="C106" s="6">
        <v>45792</v>
      </c>
      <c r="D106" s="6">
        <f>VLOOKUP($B106,contract_tasks!$B$2:$D$148,3,0)</f>
        <v>46022</v>
      </c>
      <c r="E106" s="7" t="s">
        <v>62</v>
      </c>
      <c r="F106" s="7" t="s">
        <v>62</v>
      </c>
      <c r="G106" s="7" t="s">
        <v>98</v>
      </c>
      <c r="H106" s="11" t="s">
        <v>104</v>
      </c>
      <c r="I106" s="16" t="str">
        <f t="shared" ca="1" si="1"/>
        <v/>
      </c>
      <c r="J106" s="7"/>
    </row>
    <row r="107" spans="1:10" ht="20" customHeight="1" x14ac:dyDescent="0.45">
      <c r="A107" s="12" t="s">
        <v>10</v>
      </c>
      <c r="B107" s="7">
        <v>104001</v>
      </c>
      <c r="C107" s="6">
        <v>45785</v>
      </c>
      <c r="D107" s="6">
        <f>VLOOKUP($B107,contract_tasks!$B$2:$D$148,3,0)</f>
        <v>46204</v>
      </c>
      <c r="E107" s="7" t="s">
        <v>68</v>
      </c>
      <c r="F107" s="7" t="s">
        <v>68</v>
      </c>
      <c r="G107" s="7" t="s">
        <v>98</v>
      </c>
      <c r="H107" s="11" t="s">
        <v>104</v>
      </c>
      <c r="I107" s="16" t="str">
        <f t="shared" ca="1" si="1"/>
        <v/>
      </c>
      <c r="J107" s="7"/>
    </row>
    <row r="108" spans="1:10" ht="20" customHeight="1" x14ac:dyDescent="0.45">
      <c r="A108" s="12" t="s">
        <v>14</v>
      </c>
      <c r="B108" s="7">
        <v>106001</v>
      </c>
      <c r="C108" s="6">
        <v>45785</v>
      </c>
      <c r="D108" s="6">
        <f>VLOOKUP($B108,contract_tasks!$B$2:$D$148,3,0)</f>
        <v>46022</v>
      </c>
      <c r="E108" s="7" t="s">
        <v>62</v>
      </c>
      <c r="F108" s="7" t="s">
        <v>62</v>
      </c>
      <c r="G108" s="7" t="s">
        <v>98</v>
      </c>
      <c r="H108" s="11" t="s">
        <v>104</v>
      </c>
      <c r="I108" s="16" t="str">
        <f t="shared" ca="1" si="1"/>
        <v/>
      </c>
      <c r="J108" s="7"/>
    </row>
    <row r="109" spans="1:10" ht="20" customHeight="1" x14ac:dyDescent="0.45">
      <c r="A109" s="12" t="s">
        <v>5</v>
      </c>
      <c r="B109" s="7">
        <v>102001</v>
      </c>
      <c r="C109" s="6">
        <v>45778</v>
      </c>
      <c r="D109" s="6">
        <f>VLOOKUP($B109,contract_tasks!$B$2:$D$148,3,0)</f>
        <v>46022</v>
      </c>
      <c r="E109" s="7" t="s">
        <v>64</v>
      </c>
      <c r="F109" s="7" t="s">
        <v>78</v>
      </c>
      <c r="G109" s="7" t="s">
        <v>98</v>
      </c>
      <c r="H109" s="11" t="s">
        <v>104</v>
      </c>
      <c r="I109" s="16" t="str">
        <f t="shared" ca="1" si="1"/>
        <v/>
      </c>
      <c r="J109" s="7"/>
    </row>
    <row r="110" spans="1:10" ht="20" customHeight="1" x14ac:dyDescent="0.45">
      <c r="A110" s="12" t="s">
        <v>10</v>
      </c>
      <c r="B110" s="7">
        <v>104001</v>
      </c>
      <c r="C110" s="6">
        <v>45778</v>
      </c>
      <c r="D110" s="6">
        <f>VLOOKUP($B110,contract_tasks!$B$2:$D$148,3,0)</f>
        <v>46204</v>
      </c>
      <c r="E110" s="7" t="s">
        <v>62</v>
      </c>
      <c r="F110" s="7" t="s">
        <v>62</v>
      </c>
      <c r="G110" s="7" t="s">
        <v>98</v>
      </c>
      <c r="H110" s="11" t="s">
        <v>104</v>
      </c>
      <c r="I110" s="16" t="str">
        <f t="shared" ca="1" si="1"/>
        <v/>
      </c>
      <c r="J110" s="7"/>
    </row>
    <row r="111" spans="1:10" ht="20" customHeight="1" x14ac:dyDescent="0.45">
      <c r="A111" s="12" t="s">
        <v>29</v>
      </c>
      <c r="B111" s="7">
        <v>301001</v>
      </c>
      <c r="C111" s="6">
        <v>45776</v>
      </c>
      <c r="D111" s="6">
        <f>VLOOKUP($B111,contract_tasks!$B$2:$D$148,3,0)</f>
        <v>46022</v>
      </c>
      <c r="E111" s="7" t="s">
        <v>101</v>
      </c>
      <c r="F111" s="7" t="s">
        <v>77</v>
      </c>
      <c r="G111" s="7" t="s">
        <v>98</v>
      </c>
      <c r="H111" s="11" t="s">
        <v>104</v>
      </c>
      <c r="I111" s="16" t="str">
        <f t="shared" ca="1" si="1"/>
        <v/>
      </c>
      <c r="J111" s="7"/>
    </row>
    <row r="112" spans="1:10" ht="20" customHeight="1" x14ac:dyDescent="0.45">
      <c r="A112" s="12" t="s">
        <v>30</v>
      </c>
      <c r="B112" s="7">
        <v>301002</v>
      </c>
      <c r="C112" s="6">
        <v>45776</v>
      </c>
      <c r="D112" s="6">
        <f>VLOOKUP($B112,contract_tasks!$B$2:$D$148,3,0)</f>
        <v>46022</v>
      </c>
      <c r="E112" s="7" t="s">
        <v>101</v>
      </c>
      <c r="F112" s="7" t="s">
        <v>77</v>
      </c>
      <c r="G112" s="7" t="s">
        <v>98</v>
      </c>
      <c r="H112" s="11" t="s">
        <v>104</v>
      </c>
      <c r="I112" s="16" t="str">
        <f t="shared" ca="1" si="1"/>
        <v/>
      </c>
      <c r="J112" s="7"/>
    </row>
    <row r="113" spans="1:10" ht="20" customHeight="1" x14ac:dyDescent="0.45">
      <c r="A113" s="12" t="s">
        <v>73</v>
      </c>
      <c r="B113" s="7">
        <v>301003</v>
      </c>
      <c r="C113" s="6">
        <v>45776</v>
      </c>
      <c r="D113" s="6">
        <f>VLOOKUP($B113,contract_tasks!$B$2:$D$148,3,0)</f>
        <v>46022</v>
      </c>
      <c r="E113" s="7" t="s">
        <v>101</v>
      </c>
      <c r="F113" s="7" t="s">
        <v>77</v>
      </c>
      <c r="G113" s="7" t="s">
        <v>98</v>
      </c>
      <c r="H113" s="11" t="s">
        <v>104</v>
      </c>
      <c r="I113" s="16" t="str">
        <f t="shared" ca="1" si="1"/>
        <v/>
      </c>
      <c r="J113" s="7"/>
    </row>
    <row r="114" spans="1:10" ht="20" customHeight="1" x14ac:dyDescent="0.45">
      <c r="A114" s="12" t="s">
        <v>24</v>
      </c>
      <c r="B114" s="7">
        <v>202001</v>
      </c>
      <c r="C114" s="6">
        <v>45769</v>
      </c>
      <c r="D114" s="6">
        <f>VLOOKUP($B114,contract_tasks!$B$2:$D$148,3,0)</f>
        <v>46022</v>
      </c>
      <c r="E114" s="7" t="s">
        <v>101</v>
      </c>
      <c r="F114" s="7" t="s">
        <v>77</v>
      </c>
      <c r="G114" s="7" t="s">
        <v>98</v>
      </c>
      <c r="H114" s="11" t="s">
        <v>104</v>
      </c>
      <c r="I114" s="16" t="str">
        <f t="shared" ca="1" si="1"/>
        <v/>
      </c>
      <c r="J114" s="7"/>
    </row>
    <row r="115" spans="1:10" ht="20" customHeight="1" x14ac:dyDescent="0.45">
      <c r="A115" s="12" t="s">
        <v>29</v>
      </c>
      <c r="B115" s="7">
        <v>301001</v>
      </c>
      <c r="C115" s="6">
        <v>45769</v>
      </c>
      <c r="D115" s="6">
        <f>VLOOKUP($B115,contract_tasks!$B$2:$D$148,3,0)</f>
        <v>46022</v>
      </c>
      <c r="E115" s="7" t="s">
        <v>62</v>
      </c>
      <c r="F115" s="7" t="s">
        <v>62</v>
      </c>
      <c r="G115" s="7" t="s">
        <v>98</v>
      </c>
      <c r="H115" s="11" t="s">
        <v>104</v>
      </c>
      <c r="I115" s="16" t="str">
        <f t="shared" ca="1" si="1"/>
        <v/>
      </c>
      <c r="J115" s="7"/>
    </row>
    <row r="116" spans="1:10" ht="20" customHeight="1" x14ac:dyDescent="0.45">
      <c r="A116" s="12" t="s">
        <v>30</v>
      </c>
      <c r="B116" s="7">
        <v>301002</v>
      </c>
      <c r="C116" s="6">
        <v>45769</v>
      </c>
      <c r="D116" s="6">
        <f>VLOOKUP($B116,contract_tasks!$B$2:$D$148,3,0)</f>
        <v>46022</v>
      </c>
      <c r="E116" s="7" t="s">
        <v>62</v>
      </c>
      <c r="F116" s="7" t="s">
        <v>62</v>
      </c>
      <c r="G116" s="7" t="s">
        <v>98</v>
      </c>
      <c r="H116" s="11" t="s">
        <v>104</v>
      </c>
      <c r="I116" s="16" t="str">
        <f t="shared" ca="1" si="1"/>
        <v/>
      </c>
      <c r="J116" s="7"/>
    </row>
    <row r="117" spans="1:10" ht="20" customHeight="1" x14ac:dyDescent="0.45">
      <c r="A117" s="12" t="s">
        <v>73</v>
      </c>
      <c r="B117" s="7">
        <v>301003</v>
      </c>
      <c r="C117" s="6">
        <v>45769</v>
      </c>
      <c r="D117" s="6">
        <f>VLOOKUP($B117,contract_tasks!$B$2:$D$148,3,0)</f>
        <v>46022</v>
      </c>
      <c r="E117" s="7" t="s">
        <v>62</v>
      </c>
      <c r="F117" s="7" t="s">
        <v>62</v>
      </c>
      <c r="G117" s="7" t="s">
        <v>98</v>
      </c>
      <c r="H117" s="11" t="s">
        <v>104</v>
      </c>
      <c r="I117" s="16" t="str">
        <f t="shared" ca="1" si="1"/>
        <v/>
      </c>
      <c r="J117" s="7"/>
    </row>
    <row r="118" spans="1:10" ht="20" customHeight="1" x14ac:dyDescent="0.45">
      <c r="A118" s="12" t="s">
        <v>5</v>
      </c>
      <c r="B118" s="7">
        <v>102001</v>
      </c>
      <c r="C118" s="6">
        <v>45762</v>
      </c>
      <c r="D118" s="6">
        <f>VLOOKUP($B118,contract_tasks!$B$2:$D$148,3,0)</f>
        <v>46022</v>
      </c>
      <c r="E118" s="7" t="s">
        <v>101</v>
      </c>
      <c r="F118" s="7" t="s">
        <v>77</v>
      </c>
      <c r="G118" s="7" t="s">
        <v>98</v>
      </c>
      <c r="H118" s="11" t="s">
        <v>104</v>
      </c>
      <c r="I118" s="16" t="str">
        <f t="shared" ca="1" si="1"/>
        <v/>
      </c>
      <c r="J118" s="7"/>
    </row>
    <row r="119" spans="1:10" ht="20" customHeight="1" x14ac:dyDescent="0.45">
      <c r="A119" s="12" t="s">
        <v>30</v>
      </c>
      <c r="B119" s="7">
        <v>301002</v>
      </c>
      <c r="C119" s="6">
        <v>46031</v>
      </c>
      <c r="D119" s="6">
        <f>VLOOKUP($B119,contract_tasks!$B$2:$D$148,3,0)</f>
        <v>46022</v>
      </c>
      <c r="E119" s="7" t="s">
        <v>64</v>
      </c>
      <c r="F119" s="7" t="s">
        <v>64</v>
      </c>
      <c r="G119" s="7" t="s">
        <v>72</v>
      </c>
      <c r="H119" s="7" t="s">
        <v>72</v>
      </c>
      <c r="I119" s="16" t="str">
        <f t="shared" ca="1" si="1"/>
        <v/>
      </c>
      <c r="J119" s="7"/>
    </row>
    <row r="120" spans="1:10" ht="20" customHeight="1" x14ac:dyDescent="0.45">
      <c r="A120" s="12" t="s">
        <v>9</v>
      </c>
      <c r="B120" s="7">
        <v>103004</v>
      </c>
      <c r="C120" s="6">
        <v>45762</v>
      </c>
      <c r="D120" s="6">
        <f>VLOOKUP($B120,contract_tasks!$B$2:$D$148,3,0)</f>
        <v>46022</v>
      </c>
      <c r="E120" s="7" t="s">
        <v>101</v>
      </c>
      <c r="F120" s="7" t="s">
        <v>77</v>
      </c>
      <c r="G120" s="7" t="s">
        <v>98</v>
      </c>
      <c r="H120" s="11" t="s">
        <v>104</v>
      </c>
      <c r="I120" s="16" t="str">
        <f t="shared" ca="1" si="1"/>
        <v/>
      </c>
      <c r="J120" s="7"/>
    </row>
    <row r="121" spans="1:10" ht="20" customHeight="1" x14ac:dyDescent="0.45">
      <c r="A121" s="12" t="s">
        <v>21</v>
      </c>
      <c r="B121" s="7">
        <v>111001</v>
      </c>
      <c r="C121" s="6">
        <v>45755</v>
      </c>
      <c r="D121" s="6">
        <f>VLOOKUP($B121,contract_tasks!$B$2:$D$148,3,0)</f>
        <v>46088</v>
      </c>
      <c r="E121" s="7" t="s">
        <v>101</v>
      </c>
      <c r="F121" s="7" t="s">
        <v>79</v>
      </c>
      <c r="G121" s="7" t="s">
        <v>98</v>
      </c>
      <c r="H121" s="11" t="s">
        <v>104</v>
      </c>
      <c r="I121" s="16" t="str">
        <f t="shared" ca="1" si="1"/>
        <v/>
      </c>
      <c r="J121" s="7"/>
    </row>
    <row r="122" spans="1:10" ht="20" customHeight="1" x14ac:dyDescent="0.45">
      <c r="A122" s="12" t="s">
        <v>17</v>
      </c>
      <c r="B122" s="7">
        <v>108003</v>
      </c>
      <c r="C122" s="6">
        <v>45738</v>
      </c>
      <c r="D122" s="6">
        <f>VLOOKUP($B122,contract_tasks!$B$2:$D$148,3,0)</f>
        <v>46022</v>
      </c>
      <c r="E122" s="7" t="s">
        <v>65</v>
      </c>
      <c r="F122" s="7" t="s">
        <v>80</v>
      </c>
      <c r="G122" s="7" t="s">
        <v>98</v>
      </c>
      <c r="H122" s="11" t="s">
        <v>104</v>
      </c>
      <c r="I122" s="16" t="str">
        <f t="shared" ca="1" si="1"/>
        <v/>
      </c>
      <c r="J122" s="7"/>
    </row>
    <row r="123" spans="1:10" ht="20" customHeight="1" x14ac:dyDescent="0.45">
      <c r="A123" s="12" t="s">
        <v>22</v>
      </c>
      <c r="B123" s="7">
        <v>111002</v>
      </c>
      <c r="C123" s="6">
        <v>45731</v>
      </c>
      <c r="D123" s="15">
        <v>45991</v>
      </c>
      <c r="E123" s="7" t="s">
        <v>65</v>
      </c>
      <c r="F123" s="7" t="s">
        <v>80</v>
      </c>
      <c r="G123" s="7" t="s">
        <v>98</v>
      </c>
      <c r="H123" s="11" t="s">
        <v>105</v>
      </c>
      <c r="I123" s="16" t="str">
        <f t="shared" ca="1" si="1"/>
        <v>Delayed</v>
      </c>
      <c r="J123" s="7"/>
    </row>
    <row r="124" spans="1:10" ht="20" customHeight="1" x14ac:dyDescent="0.45">
      <c r="A124" s="12" t="s">
        <v>7</v>
      </c>
      <c r="B124" s="7">
        <v>103002</v>
      </c>
      <c r="C124" s="6">
        <v>45703</v>
      </c>
      <c r="D124" s="15">
        <v>45991</v>
      </c>
      <c r="E124" s="7" t="s">
        <v>65</v>
      </c>
      <c r="F124" s="7" t="s">
        <v>80</v>
      </c>
      <c r="G124" s="7" t="s">
        <v>98</v>
      </c>
      <c r="H124" s="11" t="s">
        <v>105</v>
      </c>
      <c r="I124" s="16" t="str">
        <f t="shared" ca="1" si="1"/>
        <v>Delayed</v>
      </c>
      <c r="J124" s="7"/>
    </row>
    <row r="125" spans="1:10" ht="20" customHeight="1" x14ac:dyDescent="0.45">
      <c r="A125" s="12" t="s">
        <v>31</v>
      </c>
      <c r="B125" s="7">
        <v>301003</v>
      </c>
      <c r="C125" s="6">
        <v>46031</v>
      </c>
      <c r="D125" s="6">
        <f>VLOOKUP($B125,contract_tasks!$B$2:$D$148,3,0)</f>
        <v>46022</v>
      </c>
      <c r="E125" s="7" t="s">
        <v>62</v>
      </c>
      <c r="F125" s="7" t="s">
        <v>85</v>
      </c>
      <c r="G125" s="7" t="s">
        <v>72</v>
      </c>
      <c r="H125" s="7" t="s">
        <v>72</v>
      </c>
      <c r="I125" s="16" t="str">
        <f t="shared" ca="1" si="1"/>
        <v/>
      </c>
      <c r="J125" s="7"/>
    </row>
    <row r="126" spans="1:10" ht="20" customHeight="1" x14ac:dyDescent="0.45">
      <c r="A126" s="12" t="s">
        <v>8</v>
      </c>
      <c r="B126" s="7">
        <v>103003</v>
      </c>
      <c r="C126" s="6">
        <v>45703</v>
      </c>
      <c r="D126" s="15">
        <v>45991</v>
      </c>
      <c r="E126" s="7" t="s">
        <v>65</v>
      </c>
      <c r="F126" s="7" t="s">
        <v>80</v>
      </c>
      <c r="G126" s="7" t="s">
        <v>98</v>
      </c>
      <c r="H126" s="11" t="s">
        <v>105</v>
      </c>
      <c r="I126" s="16" t="str">
        <f t="shared" ca="1" si="1"/>
        <v>Delayed</v>
      </c>
      <c r="J126" s="7"/>
    </row>
    <row r="127" spans="1:10" ht="20" customHeight="1" x14ac:dyDescent="0.45">
      <c r="A127" s="12" t="s">
        <v>15</v>
      </c>
      <c r="B127" s="7">
        <v>107001</v>
      </c>
      <c r="C127" s="6">
        <v>45703</v>
      </c>
      <c r="D127" s="6">
        <f>VLOOKUP($B127,contract_tasks!$B$2:$D$148,3,0)</f>
        <v>46204</v>
      </c>
      <c r="E127" s="7" t="s">
        <v>65</v>
      </c>
      <c r="F127" s="7" t="s">
        <v>80</v>
      </c>
      <c r="G127" s="7" t="s">
        <v>98</v>
      </c>
      <c r="H127" s="11" t="s">
        <v>104</v>
      </c>
      <c r="I127" s="16" t="str">
        <f t="shared" ca="1" si="1"/>
        <v/>
      </c>
      <c r="J127" s="7"/>
    </row>
  </sheetData>
  <autoFilter ref="A1:J127" xr:uid="{00000000-0001-0000-0200-000000000000}">
    <sortState xmlns:xlrd2="http://schemas.microsoft.com/office/spreadsheetml/2017/richdata2" ref="A2:J127">
      <sortCondition descending="1" ref="C1:C12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kol_master</vt:lpstr>
      <vt:lpstr>contract_tasks</vt:lpstr>
      <vt:lpstr>activity_log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 DWG</dc:creator>
  <cp:lastModifiedBy>CEO DWG</cp:lastModifiedBy>
  <dcterms:created xsi:type="dcterms:W3CDTF">2025-11-21T07:10:29Z</dcterms:created>
  <dcterms:modified xsi:type="dcterms:W3CDTF">2025-11-26T04:55:02Z</dcterms:modified>
</cp:coreProperties>
</file>